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KPI_Framework" sheetId="2" state="visible" r:id="rId4"/>
    <sheet name="EDA_Insights" sheetId="3" state="visible" r:id="rId5"/>
    <sheet name="Calc" sheetId="4" state="visible" r:id="rId6"/>
    <sheet name="Data" sheetId="5" state="visible" r:id="rId7"/>
  </sheets>
  <definedNames>
    <definedName function="false" hidden="false" localSheetId="0" name="_xlnm.Print_Area" vbProcedure="false">Dashboard!$A$1:$N$72</definedName>
    <definedName function="false" hidden="true" localSheetId="4" name="_xlnm._FilterDatabase" vbProcedure="false">Data!$A$1:$Q$1001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<sst xmlns="http://schemas.openxmlformats.org/spreadsheetml/2006/main" count="7312" uniqueCount="2613">
  <si>
    <t xml:space="preserve">ApexPlanet Sales Performance – Key Metrics Dashboard (Static Mock-up)</t>
  </si>
  <si>
    <t xml:space="preserve">HEADLINE KPIs  (Tier 1)</t>
  </si>
  <si>
    <t xml:space="preserve">TOTAL REVENUE</t>
  </si>
  <si>
    <t xml:space="preserve">TOTAL ORDERS</t>
  </si>
  <si>
    <t xml:space="preserve">AVG ORDER VALUE (AOV)</t>
  </si>
  <si>
    <t xml:space="preserve">UNITS SOLD</t>
  </si>
  <si>
    <t xml:space="preserve">UNIQUE CUSTOMERS</t>
  </si>
  <si>
    <t xml:space="preserve">REPEAT CUSTOMER RATE</t>
  </si>
  <si>
    <t xml:space="preserve">MoM REVENUE GROWTH</t>
  </si>
  <si>
    <t xml:space="preserve">TOP CATEGORY SHARE</t>
  </si>
  <si>
    <t xml:space="preserve">TRENDS &amp; BREAKDOWNS  (Tier 2)</t>
  </si>
  <si>
    <t xml:space="preserve">KEY TAKEAWAYS FROM EDA</t>
  </si>
  <si>
    <t xml:space="preserve">•  Revenue is concentrated in Electronics: 36.4% of revenue (Laptop + Mobile) while the other four categories hold 14–18% each.</t>
  </si>
  <si>
    <t xml:space="preserve">•  Retention is the biggest gap: only 52 of 947 customers (5.5%) ordered more than once, and none more than 3 times.</t>
  </si>
  <si>
    <t xml:space="preserve">•  Revenue peaked in Mar-25 (₹131 Lakh) and bottomed in Sep-25 (₹92 Lakh); Dec-25 closed -2.6% vs Nov-25.</t>
  </si>
  <si>
    <t xml:space="preserve">•  Patna leads on revenue (₹193 Lakh) but Bengaluru has the highest AOV (₹1.54 Lakh); Gaya is lowest on revenue (₹144 Lakh).</t>
  </si>
  <si>
    <t xml:space="preserve">DATA-QUALITY WATCH  (Tier 3)</t>
  </si>
  <si>
    <t xml:space="preserve">Missing City</t>
  </si>
  <si>
    <t xml:space="preserve">Missing Age</t>
  </si>
  <si>
    <t xml:space="preserve">Reused Order_IDs</t>
  </si>
  <si>
    <t xml:space="preserve">Jan-26 partial month</t>
  </si>
  <si>
    <t xml:space="preserve">Static mock-up: layout and KPI selection are the deliverable. Figures are formula-driven from the Data/Calc sheets and reflect the dataset at build time; no slicers or interactivity. ₹ Cr = 10,000,000; ₹ Lakh = 100,000.</t>
  </si>
  <si>
    <t xml:space="preserve">Proposed KPI Framework – what to track and why</t>
  </si>
  <si>
    <t xml:space="preserve">Prioritised from the EDA. Current values are live links to the Calc sheet. Targets are intentionally left for business stakeholders – none are invented here.</t>
  </si>
  <si>
    <t xml:space="preserve">#</t>
  </si>
  <si>
    <t xml:space="preserve">Tier</t>
  </si>
  <si>
    <t xml:space="preserve">KPI</t>
  </si>
  <si>
    <t xml:space="preserve">Definition / formula</t>
  </si>
  <si>
    <t xml:space="preserve">Current value</t>
  </si>
  <si>
    <t xml:space="preserve">Why it matters (EDA evidence)</t>
  </si>
  <si>
    <t xml:space="preserve">Suggested visual</t>
  </si>
  <si>
    <t xml:space="preserve">Cadence</t>
  </si>
  <si>
    <t xml:space="preserve">Proposed alert rule (to validate)</t>
  </si>
  <si>
    <t xml:space="preserve">Tier 1 – Headline</t>
  </si>
  <si>
    <t xml:space="preserve">Total Revenue</t>
  </si>
  <si>
    <t xml:space="preserve">SUM(Total_Sales)</t>
  </si>
  <si>
    <t xml:space="preserve">Core scale metric. Total_Sales reconciles exactly to Quantity × Unit_Price on every row, so it is a reliable revenue measure.</t>
  </si>
  <si>
    <t xml:space="preserve">KPI card + monthly line</t>
  </si>
  <si>
    <t xml:space="preserve">Daily / monthly</t>
  </si>
  <si>
    <t xml:space="preserve">Month &lt; 90% of trailing-3-month average</t>
  </si>
  <si>
    <t xml:space="preserve">Total Orders</t>
  </si>
  <si>
    <t xml:space="preserve">COUNT(order rows)</t>
  </si>
  <si>
    <t xml:space="preserve">Volume driver. Order_ID is not unique (reused IDs), so count rows, not distinct IDs, until the source is fixed.</t>
  </si>
  <si>
    <t xml:space="preserve">KPI card</t>
  </si>
  <si>
    <t xml:space="preserve">Orders fall while AOV is flat</t>
  </si>
  <si>
    <t xml:space="preserve">Average Order Value (AOV)</t>
  </si>
  <si>
    <t xml:space="preserve">Total Revenue ÷ Total Orders</t>
  </si>
  <si>
    <t xml:space="preserve">Separates growth from volume vs. basket size. AOV varies by city (Bengaluru highest, Gaya lowest) and by category.</t>
  </si>
  <si>
    <t xml:space="preserve">KPI card + AOV by city</t>
  </si>
  <si>
    <t xml:space="preserve">Monthly</t>
  </si>
  <si>
    <t xml:space="preserve">AOV drops &gt; 5% MoM</t>
  </si>
  <si>
    <t xml:space="preserve">Unique Customers</t>
  </si>
  <si>
    <t xml:space="preserve">DISTINCT(Customer_ID)</t>
  </si>
  <si>
    <t xml:space="preserve">947 distinct IDs for 1,000 orders. Customer_ID (not Customer_Name, which repeats across IDs) must be the key.</t>
  </si>
  <si>
    <t xml:space="preserve">New-customer count falls 2 months in a row</t>
  </si>
  <si>
    <t xml:space="preserve">Repeat Customer Rate</t>
  </si>
  <si>
    <t xml:space="preserve">Customers with 2+ orders ÷ Unique Customers</t>
  </si>
  <si>
    <t xml:space="preserve">Very low baseline: retention is the largest improvement opportunity visible in the data.</t>
  </si>
  <si>
    <t xml:space="preserve">KPI card + trend</t>
  </si>
  <si>
    <t xml:space="preserve">Monthly / quarterly</t>
  </si>
  <si>
    <t xml:space="preserve">Any decline vs. prior quarter</t>
  </si>
  <si>
    <t xml:space="preserve">MoM Revenue Growth</t>
  </si>
  <si>
    <t xml:space="preserve">Latest full month ÷ prior month − 1</t>
  </si>
  <si>
    <t xml:space="preserve">Revenue is seasonal: peak in Mar-25, trough in Aug–Sep-25, recovery in Oct-25. Growth rate flags turns early.</t>
  </si>
  <si>
    <t xml:space="preserve">Two consecutive negative months</t>
  </si>
  <si>
    <t xml:space="preserve">Tier 2 – Diagnostic</t>
  </si>
  <si>
    <t xml:space="preserve">Category revenue share</t>
  </si>
  <si>
    <t xml:space="preserve">Category revenue ÷ Total Revenue</t>
  </si>
  <si>
    <t xml:space="preserve">Electronics holds ~36% of revenue; a dip in one category moves the whole business.</t>
  </si>
  <si>
    <t xml:space="preserve">Horizontal bar</t>
  </si>
  <si>
    <t xml:space="preserve">Any category share moves &gt; 3 pts MoM</t>
  </si>
  <si>
    <t xml:space="preserve">Product revenue &amp; units</t>
  </si>
  <si>
    <t xml:space="preserve">SUM(Total_Sales), SUM(Quantity) by Product</t>
  </si>
  <si>
    <t xml:space="preserve">Six products contribute 14–18% each, so no single hero SKU. Shoes is lowest on revenue and AOV. (Value shown: top product, ₹ Lakh.)</t>
  </si>
  <si>
    <t xml:space="preserve">Column chart</t>
  </si>
  <si>
    <t xml:space="preserve">Product share &lt; 12%</t>
  </si>
  <si>
    <t xml:space="preserve">City revenue &amp; AOV</t>
  </si>
  <si>
    <t xml:space="preserve">SUM(Total_Sales) and AOV by City</t>
  </si>
  <si>
    <t xml:space="preserve">Patna, Kolkata, Bengaluru, Mumbai lead; Pune and Gaya trail. Bengaluru wins on basket size, Patna on order count. (Value shown: top city.)</t>
  </si>
  <si>
    <t xml:space="preserve">Horizontal bar + AOV</t>
  </si>
  <si>
    <t xml:space="preserve">City revenue −10% vs. 3-month avg</t>
  </si>
  <si>
    <t xml:space="preserve">Revenue by age group</t>
  </si>
  <si>
    <t xml:space="preserve">SUM(Total_Sales) by Age band</t>
  </si>
  <si>
    <t xml:space="preserve">26–35 is the biggest segment; 18–25 the smallest. Differences are modest. (Value shown: 26–35 revenue, ₹ Lakh.)</t>
  </si>
  <si>
    <t xml:space="preserve">Quarterly</t>
  </si>
  <si>
    <t xml:space="preserve">Segment share shifts &gt; 3 pts</t>
  </si>
  <si>
    <t xml:space="preserve">Gender revenue split</t>
  </si>
  <si>
    <t xml:space="preserve">SUM(Total_Sales) by Gender</t>
  </si>
  <si>
    <t xml:space="preserve">Near 52/48 split with a small AOV gap; low priority, kept as context. (Value shown: male share.)</t>
  </si>
  <si>
    <t xml:space="preserve">Doughnut</t>
  </si>
  <si>
    <t xml:space="preserve">Not alert-worthy</t>
  </si>
  <si>
    <t xml:space="preserve">Tier 3 – Data health</t>
  </si>
  <si>
    <t xml:space="preserve">Missing City / Age %</t>
  </si>
  <si>
    <t xml:space="preserve">Blank City ÷ rows; Blank Age ÷ rows</t>
  </si>
  <si>
    <t xml:space="preserve">13 rows lack City (~₹15 Lakh revenue unattributable); 20 rows lack Age. (Value shown: missing-City %.)</t>
  </si>
  <si>
    <t xml:space="preserve">Warning strip</t>
  </si>
  <si>
    <t xml:space="preserve">Each load</t>
  </si>
  <si>
    <t xml:space="preserve">&gt; 2% on either field</t>
  </si>
  <si>
    <t xml:space="preserve">Duplicate Order_ID rows</t>
  </si>
  <si>
    <t xml:space="preserve">Rows − distinct Order_IDs</t>
  </si>
  <si>
    <t xml:space="preserve">ORD100050 appears 9 times with different customers and dates – an ID-generation issue to raise with the data owner.</t>
  </si>
  <si>
    <t xml:space="preserve">&gt; 0</t>
  </si>
  <si>
    <t xml:space="preserve">Line-total mismatches</t>
  </si>
  <si>
    <t xml:space="preserve">Rows where Qty × Price ≠ Total_Sales</t>
  </si>
  <si>
    <t xml:space="preserve">Currently zero – keep monitoring so the revenue KPI stays trustworthy.</t>
  </si>
  <si>
    <t xml:space="preserve">Alert rules are proposals for discussion, not agreed thresholds. Currency assumed INR.</t>
  </si>
  <si>
    <t xml:space="preserve">EDA Insights that shaped the KPI selection</t>
  </si>
  <si>
    <t xml:space="preserve">Findings are a snapshot from exploratory analysis of Sales_Dataset (computed at build time).</t>
  </si>
  <si>
    <t xml:space="preserve">Theme</t>
  </si>
  <si>
    <t xml:space="preserve">Finding</t>
  </si>
  <si>
    <t xml:space="preserve">Implication for the dashboard</t>
  </si>
  <si>
    <t xml:space="preserve">Data profile</t>
  </si>
  <si>
    <t xml:space="preserve">1,000 transaction rows, 12 columns, 01 Jan 2025 to 01 Jan 2026; 6 products in 5 categories sold across 8 cities. Total revenue ₹13.94 Cr.</t>
  </si>
  <si>
    <t xml:space="preserve">Small, clean-enough dataset; a single-page dashboard is the right size.</t>
  </si>
  <si>
    <t xml:space="preserve">Revenue integrity</t>
  </si>
  <si>
    <t xml:space="preserve">Quantity × Unit_Price equals Total_Sales on all 1,000 rows (0 mismatches).</t>
  </si>
  <si>
    <t xml:space="preserve">Total_Sales can be used directly as the revenue measure.</t>
  </si>
  <si>
    <t xml:space="preserve">Category mix</t>
  </si>
  <si>
    <t xml:space="preserve">Electronics = 36.4% of revenue and 35.4% of orders. Education 18.0%, Grocery 15.9%, Furniture 15.4%, Fashion 14.2%.</t>
  </si>
  <si>
    <t xml:space="preserve">Track category share and top-category share as a concentration KPI.</t>
  </si>
  <si>
    <t xml:space="preserve">Product mix</t>
  </si>
  <si>
    <t xml:space="preserve">Laptop 18.3%, Mobile 18.2%, Book 18.0%, Rice 15.9%, Chair 15.4%, Shoes 14.2%. Shoes has the lowest AOV (₹1.27 Lakh).</t>
  </si>
  <si>
    <t xml:space="preserve">No single hero product; show product revenue as a simple column chart.</t>
  </si>
  <si>
    <t xml:space="preserve">Geography</t>
  </si>
  <si>
    <t xml:space="preserve">Patna is the top city (₹193 Lakh, 13.8%), Gaya the lowest (₹144 Lakh). AOV ranges from ₹1.23 Lakh (Gaya) to ₹1.54 Lakh (Bengaluru).</t>
  </si>
  <si>
    <t xml:space="preserve">Show city revenue plus AOV: volume and basket size tell different stories.</t>
  </si>
  <si>
    <t xml:space="preserve">Seasonality</t>
  </si>
  <si>
    <t xml:space="preserve">Monthly revenue ranges from ₹92 Lakh (Sep-25) to ₹131 Lakh (Mar-25); Aug–Sep dip, then Oct recovery (₹125 Lakh). Dec-25 is -2.6% vs Nov-25.</t>
  </si>
  <si>
    <t xml:space="preserve">A monthly trend line and MoM growth are essential; consider YoY once a second year exists.</t>
  </si>
  <si>
    <t xml:space="preserve">Customers</t>
  </si>
  <si>
    <t xml:space="preserve">947 distinct Customer_IDs across 1,000 orders; only 52 repeat customers (5.5%), max 3 orders. 425 customer names map to 947 IDs, so names are not unique.</t>
  </si>
  <si>
    <t xml:space="preserve">Repeat Customer Rate is a priority KPI; always key on Customer_ID.</t>
  </si>
  <si>
    <t xml:space="preserve">Demographics</t>
  </si>
  <si>
    <t xml:space="preserve">Age 18–65 (mean 41); 26–35 is the biggest revenue band (₹296 Lakh), 18–25 the smallest (₹223 Lakh). Male 52% / Female 48% of revenue; AOV ₹1.42 vs ₹1.37 Lakh.</t>
  </si>
  <si>
    <t xml:space="preserve">Differences are small; keep as contextual Tier 2 visuals, not headline KPIs.</t>
  </si>
  <si>
    <t xml:space="preserve">Pricing realism</t>
  </si>
  <si>
    <t xml:space="preserve">Quantity is spread evenly from 1 to 10 and average unit price is similar for every product (₹24,728–₹26,360); Rice is priced like a Laptop.</t>
  </si>
  <si>
    <t xml:space="preserve">The data looks synthetic. Treat product-price KPIs with caution; focus on revenue, orders and customers.</t>
  </si>
  <si>
    <t xml:space="preserve">Data quality</t>
  </si>
  <si>
    <t xml:space="preserve">13 rows missing City (₹15.4 Lakh), 20 missing Age, 8 duplicate Order_ID rows (ORD100050 appears 9 times), 5 orders on 01 Jan 2026 only.</t>
  </si>
  <si>
    <t xml:space="preserve">Add a data-quality strip; show missing City as “Unknown”; exclude the partial month from the trend.</t>
  </si>
  <si>
    <t xml:space="preserve">Calculation layer – every dashboard number is computed here from the Data sheet</t>
  </si>
  <si>
    <t xml:space="preserve">Assumptions</t>
  </si>
  <si>
    <t xml:space="preserve">₹ Lakh divisor</t>
  </si>
  <si>
    <t xml:space="preserve">Assumption: 1 Lakh = 100,000. Currency assumed INR (dataset has no currency field; cities are Indian).</t>
  </si>
  <si>
    <t xml:space="preserve">Crore divisor</t>
  </si>
  <si>
    <t xml:space="preserve">Assumption: 1 Crore = 10,000,000.</t>
  </si>
  <si>
    <t xml:space="preserve">Headline KPI</t>
  </si>
  <si>
    <t xml:space="preserve">Value</t>
  </si>
  <si>
    <t xml:space="preserve">Definition</t>
  </si>
  <si>
    <t xml:space="preserve">Total Revenue (₹)</t>
  </si>
  <si>
    <t xml:space="preserve">Sum of Total_Sales</t>
  </si>
  <si>
    <t xml:space="preserve">Count of transaction rows (Order_ID is not unique – see data-quality block)</t>
  </si>
  <si>
    <t xml:space="preserve">Average Order Value (₹)</t>
  </si>
  <si>
    <t xml:space="preserve">Units Sold</t>
  </si>
  <si>
    <t xml:space="preserve">Sum of Quantity</t>
  </si>
  <si>
    <t xml:space="preserve">Units per Order</t>
  </si>
  <si>
    <t xml:space="preserve">Units Sold ÷ Total Orders</t>
  </si>
  <si>
    <t xml:space="preserve">Distinct Customer_ID</t>
  </si>
  <si>
    <t xml:space="preserve">Repeat Customers</t>
  </si>
  <si>
    <t xml:space="preserve">Customers with 2+ orders</t>
  </si>
  <si>
    <t xml:space="preserve">Repeat Customers ÷ Unique Customers</t>
  </si>
  <si>
    <t xml:space="preserve">Revenue per Customer (₹)</t>
  </si>
  <si>
    <t xml:space="preserve">Total Revenue ÷ Unique Customers</t>
  </si>
  <si>
    <t xml:space="preserve">Latest full month revenue (₹ Lakh)</t>
  </si>
  <si>
    <t xml:space="preserve">Dec-25 – last complete month in the data</t>
  </si>
  <si>
    <t xml:space="preserve">Prior month revenue (₹ Lakh)</t>
  </si>
  <si>
    <t xml:space="preserve">Concentration &amp; data-quality metrics</t>
  </si>
  <si>
    <t xml:space="preserve">Top category revenue share</t>
  </si>
  <si>
    <t xml:space="preserve">Largest category share of total revenue</t>
  </si>
  <si>
    <t xml:space="preserve">Top category</t>
  </si>
  <si>
    <t xml:space="preserve">Category with the highest revenue</t>
  </si>
  <si>
    <t xml:space="preserve">Top city</t>
  </si>
  <si>
    <t xml:space="preserve">City with the highest revenue (excl. Unknown)</t>
  </si>
  <si>
    <t xml:space="preserve">Order_IDs reused (duplicate rows)</t>
  </si>
  <si>
    <t xml:space="preserve">Missing Age (rows)</t>
  </si>
  <si>
    <t xml:space="preserve">Blank Age</t>
  </si>
  <si>
    <t xml:space="preserve">Missing Age %</t>
  </si>
  <si>
    <t xml:space="preserve">Missing City (rows)</t>
  </si>
  <si>
    <t xml:space="preserve">Blank City</t>
  </si>
  <si>
    <t xml:space="preserve">Missing City %</t>
  </si>
  <si>
    <t xml:space="preserve">Rows where Quantity × Unit_Price ≠ Total_Sales (tolerance ₹0.05)</t>
  </si>
  <si>
    <t xml:space="preserve">Orders dated Jan-26 (partial month)</t>
  </si>
  <si>
    <t xml:space="preserve">Excluded from monthly trend; included in headline totals</t>
  </si>
  <si>
    <t xml:space="preserve">Revenue with missing City (₹ Lakh)</t>
  </si>
  <si>
    <t xml:space="preserve">Revenue that cannot be attributed to a city</t>
  </si>
  <si>
    <t xml:space="preserve">Monthly Revenue Trend (calendar 2025)</t>
  </si>
  <si>
    <t xml:space="preserve">Month</t>
  </si>
  <si>
    <t xml:space="preserve">Label</t>
  </si>
  <si>
    <t xml:space="preserve">Revenue (₹ Lakh)</t>
  </si>
  <si>
    <t xml:space="preserve">Orders</t>
  </si>
  <si>
    <t xml:space="preserve">AOV (₹)</t>
  </si>
  <si>
    <t xml:space="preserve">MoM Growth</t>
  </si>
  <si>
    <t xml:space="preserve">2025 total</t>
  </si>
  <si>
    <t xml:space="preserve">Excluded: Jan-26</t>
  </si>
  <si>
    <t xml:space="preserve">Check vs total (should be 0)</t>
  </si>
  <si>
    <t xml:space="preserve">Revenue by Category</t>
  </si>
  <si>
    <t xml:space="preserve">Category</t>
  </si>
  <si>
    <t xml:space="preserve">Units</t>
  </si>
  <si>
    <t xml:space="preserve">Revenue Share</t>
  </si>
  <si>
    <t xml:space="preserve">Electronics</t>
  </si>
  <si>
    <t xml:space="preserve">Education</t>
  </si>
  <si>
    <t xml:space="preserve">Grocery</t>
  </si>
  <si>
    <t xml:space="preserve">Furniture</t>
  </si>
  <si>
    <t xml:space="preserve">Fashion</t>
  </si>
  <si>
    <t xml:space="preserve">Total</t>
  </si>
  <si>
    <t xml:space="preserve">Revenue by Product</t>
  </si>
  <si>
    <t xml:space="preserve">Product</t>
  </si>
  <si>
    <t xml:space="preserve">Laptop</t>
  </si>
  <si>
    <t xml:space="preserve">Mobile</t>
  </si>
  <si>
    <t xml:space="preserve">Book</t>
  </si>
  <si>
    <t xml:space="preserve">Rice</t>
  </si>
  <si>
    <t xml:space="preserve">Chair</t>
  </si>
  <si>
    <t xml:space="preserve">Shoes</t>
  </si>
  <si>
    <t xml:space="preserve">Revenue by City</t>
  </si>
  <si>
    <t xml:space="preserve">City</t>
  </si>
  <si>
    <t xml:space="preserve">Patna</t>
  </si>
  <si>
    <t xml:space="preserve">Kolkata</t>
  </si>
  <si>
    <t xml:space="preserve">Bengaluru</t>
  </si>
  <si>
    <t xml:space="preserve">Mumbai</t>
  </si>
  <si>
    <t xml:space="preserve">Hyderabad</t>
  </si>
  <si>
    <t xml:space="preserve">Delhi</t>
  </si>
  <si>
    <t xml:space="preserve">Pune</t>
  </si>
  <si>
    <t xml:space="preserve">Gaya</t>
  </si>
  <si>
    <t xml:space="preserve">Unknown</t>
  </si>
  <si>
    <t xml:space="preserve">Revenue by Age Group</t>
  </si>
  <si>
    <t xml:space="preserve">Age Group</t>
  </si>
  <si>
    <t xml:space="preserve">18-25</t>
  </si>
  <si>
    <t xml:space="preserve">26-35</t>
  </si>
  <si>
    <t xml:space="preserve">36-45</t>
  </si>
  <si>
    <t xml:space="preserve">46-55</t>
  </si>
  <si>
    <t xml:space="preserve">56-65</t>
  </si>
  <si>
    <t xml:space="preserve">Revenue by Gender</t>
  </si>
  <si>
    <t xml:space="preserve">Gender</t>
  </si>
  <si>
    <t xml:space="preserve">Male</t>
  </si>
  <si>
    <t xml:space="preserve">Female</t>
  </si>
  <si>
    <t xml:space="preserve">Order_ID</t>
  </si>
  <si>
    <t xml:space="preserve">Order_Date</t>
  </si>
  <si>
    <t xml:space="preserve">Customer_ID</t>
  </si>
  <si>
    <t xml:space="preserve">Customer_Name</t>
  </si>
  <si>
    <t xml:space="preserve">Age</t>
  </si>
  <si>
    <t xml:space="preserve">Quantity</t>
  </si>
  <si>
    <t xml:space="preserve">Unit_Price</t>
  </si>
  <si>
    <t xml:space="preserve">Total_Sales</t>
  </si>
  <si>
    <t xml:space="preserve">Order_Month</t>
  </si>
  <si>
    <t xml:space="preserve">City_Clean</t>
  </si>
  <si>
    <t xml:space="preserve">Age_Group</t>
  </si>
  <si>
    <t xml:space="preserve">Cust_Order_Count</t>
  </si>
  <si>
    <t xml:space="preserve">Cust_First_Flag</t>
  </si>
  <si>
    <t xml:space="preserve">ORD100002</t>
  </si>
  <si>
    <t xml:space="preserve">CUST5529</t>
  </si>
  <si>
    <t xml:space="preserve">Customer_227</t>
  </si>
  <si>
    <t xml:space="preserve">ORD100003</t>
  </si>
  <si>
    <t xml:space="preserve">CUST3127</t>
  </si>
  <si>
    <t xml:space="preserve">Customer_182</t>
  </si>
  <si>
    <t xml:space="preserve">ORD100004</t>
  </si>
  <si>
    <t xml:space="preserve">CUST8887</t>
  </si>
  <si>
    <t xml:space="preserve">Customer_487</t>
  </si>
  <si>
    <t xml:space="preserve">ORD100005</t>
  </si>
  <si>
    <t xml:space="preserve">CUST2515</t>
  </si>
  <si>
    <t xml:space="preserve">Customer_470</t>
  </si>
  <si>
    <t xml:space="preserve">ORD100006</t>
  </si>
  <si>
    <t xml:space="preserve">CUST4796</t>
  </si>
  <si>
    <t xml:space="preserve">Customer_380</t>
  </si>
  <si>
    <t xml:space="preserve">ORD100007</t>
  </si>
  <si>
    <t xml:space="preserve">CUST3952</t>
  </si>
  <si>
    <t xml:space="preserve">Customer_71</t>
  </si>
  <si>
    <t xml:space="preserve">ORD100008</t>
  </si>
  <si>
    <t xml:space="preserve">CUST1758</t>
  </si>
  <si>
    <t xml:space="preserve">Customer_335</t>
  </si>
  <si>
    <t xml:space="preserve">ORD100009</t>
  </si>
  <si>
    <t xml:space="preserve">CUST9622</t>
  </si>
  <si>
    <t xml:space="preserve">Customer_224</t>
  </si>
  <si>
    <t xml:space="preserve">ORD100010</t>
  </si>
  <si>
    <t xml:space="preserve">CUST9770</t>
  </si>
  <si>
    <t xml:space="preserve">Customer_494</t>
  </si>
  <si>
    <t xml:space="preserve">ORD100011</t>
  </si>
  <si>
    <t xml:space="preserve">CUST1312</t>
  </si>
  <si>
    <t xml:space="preserve">Customer_40</t>
  </si>
  <si>
    <t xml:space="preserve">ORD100012</t>
  </si>
  <si>
    <t xml:space="preserve">CUST9642</t>
  </si>
  <si>
    <t xml:space="preserve">Customer_162</t>
  </si>
  <si>
    <t xml:space="preserve">ORD100013</t>
  </si>
  <si>
    <t xml:space="preserve">CUST3228</t>
  </si>
  <si>
    <t xml:space="preserve">Customer_209</t>
  </si>
  <si>
    <t xml:space="preserve">ORD100014</t>
  </si>
  <si>
    <t xml:space="preserve">CUST1038</t>
  </si>
  <si>
    <t xml:space="preserve">Customer_454</t>
  </si>
  <si>
    <t xml:space="preserve">ORD100015</t>
  </si>
  <si>
    <t xml:space="preserve">CUST6413</t>
  </si>
  <si>
    <t xml:space="preserve">Customer_490</t>
  </si>
  <si>
    <t xml:space="preserve">ORD100016</t>
  </si>
  <si>
    <t xml:space="preserve">CUST8660</t>
  </si>
  <si>
    <t xml:space="preserve">Customer_213</t>
  </si>
  <si>
    <t xml:space="preserve">ORD100017</t>
  </si>
  <si>
    <t xml:space="preserve">CUST9307</t>
  </si>
  <si>
    <t xml:space="preserve">Customer_313</t>
  </si>
  <si>
    <t xml:space="preserve">ORD100018</t>
  </si>
  <si>
    <t xml:space="preserve">CUST4363</t>
  </si>
  <si>
    <t xml:space="preserve">Customer_161</t>
  </si>
  <si>
    <t xml:space="preserve">ORD100019</t>
  </si>
  <si>
    <t xml:space="preserve">CUST3508</t>
  </si>
  <si>
    <t xml:space="preserve">Customer_67</t>
  </si>
  <si>
    <t xml:space="preserve">ORD100020</t>
  </si>
  <si>
    <t xml:space="preserve">CUST5806</t>
  </si>
  <si>
    <t xml:space="preserve">Customer_103</t>
  </si>
  <si>
    <t xml:space="preserve">ORD100021</t>
  </si>
  <si>
    <t xml:space="preserve">CUST6504</t>
  </si>
  <si>
    <t xml:space="preserve">Customer_357</t>
  </si>
  <si>
    <t xml:space="preserve">ORD100022</t>
  </si>
  <si>
    <t xml:space="preserve">CUST8908</t>
  </si>
  <si>
    <t xml:space="preserve">Customer_190</t>
  </si>
  <si>
    <t xml:space="preserve">ORD100023</t>
  </si>
  <si>
    <t xml:space="preserve">CUST2903</t>
  </si>
  <si>
    <t xml:space="preserve">Customer_122</t>
  </si>
  <si>
    <t xml:space="preserve">ORD100024</t>
  </si>
  <si>
    <t xml:space="preserve">CUST1406</t>
  </si>
  <si>
    <t xml:space="preserve">Customer_499</t>
  </si>
  <si>
    <t xml:space="preserve">ORD100025</t>
  </si>
  <si>
    <t xml:space="preserve">CUST8036</t>
  </si>
  <si>
    <t xml:space="preserve">Customer_173</t>
  </si>
  <si>
    <t xml:space="preserve">ORD100026</t>
  </si>
  <si>
    <t xml:space="preserve">CUST6532</t>
  </si>
  <si>
    <t xml:space="preserve">Customer_348</t>
  </si>
  <si>
    <t xml:space="preserve">ORD100027</t>
  </si>
  <si>
    <t xml:space="preserve">CUST2482</t>
  </si>
  <si>
    <t xml:space="preserve">Customer_183</t>
  </si>
  <si>
    <t xml:space="preserve">ORD100028</t>
  </si>
  <si>
    <t xml:space="preserve">CUST2003</t>
  </si>
  <si>
    <t xml:space="preserve">Customer_48</t>
  </si>
  <si>
    <t xml:space="preserve">ORD100029</t>
  </si>
  <si>
    <t xml:space="preserve">CUST6149</t>
  </si>
  <si>
    <t xml:space="preserve">Customer_181</t>
  </si>
  <si>
    <t xml:space="preserve">ORD100030</t>
  </si>
  <si>
    <t xml:space="preserve">CUST3688</t>
  </si>
  <si>
    <t xml:space="preserve">Customer_205</t>
  </si>
  <si>
    <t xml:space="preserve">ORD100031</t>
  </si>
  <si>
    <t xml:space="preserve">CUST3212</t>
  </si>
  <si>
    <t xml:space="preserve">Customer_415</t>
  </si>
  <si>
    <t xml:space="preserve">ORD100032</t>
  </si>
  <si>
    <t xml:space="preserve">CUST5063</t>
  </si>
  <si>
    <t xml:space="preserve">Customer_50</t>
  </si>
  <si>
    <t xml:space="preserve">ORD100033</t>
  </si>
  <si>
    <t xml:space="preserve">CUST9565</t>
  </si>
  <si>
    <t xml:space="preserve">Customer_350</t>
  </si>
  <si>
    <t xml:space="preserve">ORD100034</t>
  </si>
  <si>
    <t xml:space="preserve">CUST9325</t>
  </si>
  <si>
    <t xml:space="preserve">Customer_352</t>
  </si>
  <si>
    <t xml:space="preserve">ORD100035</t>
  </si>
  <si>
    <t xml:space="preserve">CUST4002</t>
  </si>
  <si>
    <t xml:space="preserve">Customer_388</t>
  </si>
  <si>
    <t xml:space="preserve">ORD100036</t>
  </si>
  <si>
    <t xml:space="preserve">CUST8975</t>
  </si>
  <si>
    <t xml:space="preserve">Customer_315</t>
  </si>
  <si>
    <t xml:space="preserve">ORD100037</t>
  </si>
  <si>
    <t xml:space="preserve">CUST2669</t>
  </si>
  <si>
    <t xml:space="preserve">Customer_151</t>
  </si>
  <si>
    <t xml:space="preserve">ORD100038</t>
  </si>
  <si>
    <t xml:space="preserve">CUST5869</t>
  </si>
  <si>
    <t xml:space="preserve">ORD100039</t>
  </si>
  <si>
    <t xml:space="preserve">CUST7249</t>
  </si>
  <si>
    <t xml:space="preserve">Customer_144</t>
  </si>
  <si>
    <t xml:space="preserve">ORD100040</t>
  </si>
  <si>
    <t xml:space="preserve">CUST7465</t>
  </si>
  <si>
    <t xml:space="preserve">Customer_345</t>
  </si>
  <si>
    <t xml:space="preserve">ORD100041</t>
  </si>
  <si>
    <t xml:space="preserve">CUST7988</t>
  </si>
  <si>
    <t xml:space="preserve">Customer_383</t>
  </si>
  <si>
    <t xml:space="preserve">ORD100042</t>
  </si>
  <si>
    <t xml:space="preserve">CUST9953</t>
  </si>
  <si>
    <t xml:space="preserve">Customer_484</t>
  </si>
  <si>
    <t xml:space="preserve">ORD100043</t>
  </si>
  <si>
    <t xml:space="preserve">CUST6938</t>
  </si>
  <si>
    <t xml:space="preserve">Customer_344</t>
  </si>
  <si>
    <t xml:space="preserve">ORD100044</t>
  </si>
  <si>
    <t xml:space="preserve">CUST3006</t>
  </si>
  <si>
    <t xml:space="preserve">Customer_256</t>
  </si>
  <si>
    <t xml:space="preserve">ORD100045</t>
  </si>
  <si>
    <t xml:space="preserve">CUST5151</t>
  </si>
  <si>
    <t xml:space="preserve">Customer_409</t>
  </si>
  <si>
    <t xml:space="preserve">ORD100046</t>
  </si>
  <si>
    <t xml:space="preserve">CUST5903</t>
  </si>
  <si>
    <t xml:space="preserve">Customer_396</t>
  </si>
  <si>
    <t xml:space="preserve">ORD100047</t>
  </si>
  <si>
    <t xml:space="preserve">CUST4943</t>
  </si>
  <si>
    <t xml:space="preserve">Customer_198</t>
  </si>
  <si>
    <t xml:space="preserve">ORD100048</t>
  </si>
  <si>
    <t xml:space="preserve">CUST4750</t>
  </si>
  <si>
    <t xml:space="preserve">Customer_78</t>
  </si>
  <si>
    <t xml:space="preserve">ORD100049</t>
  </si>
  <si>
    <t xml:space="preserve">CUST2705</t>
  </si>
  <si>
    <t xml:space="preserve">Customer_117</t>
  </si>
  <si>
    <t xml:space="preserve">ORD100050</t>
  </si>
  <si>
    <t xml:space="preserve">CUST5523</t>
  </si>
  <si>
    <t xml:space="preserve">Customer_432</t>
  </si>
  <si>
    <t xml:space="preserve">ORD100051</t>
  </si>
  <si>
    <t xml:space="preserve">CUST1557</t>
  </si>
  <si>
    <t xml:space="preserve">Customer_87</t>
  </si>
  <si>
    <t xml:space="preserve">ORD100052</t>
  </si>
  <si>
    <t xml:space="preserve">CUST2062</t>
  </si>
  <si>
    <t xml:space="preserve">Customer_254</t>
  </si>
  <si>
    <t xml:space="preserve">ORD100053</t>
  </si>
  <si>
    <t xml:space="preserve">CUST9203</t>
  </si>
  <si>
    <t xml:space="preserve">Customer_70</t>
  </si>
  <si>
    <t xml:space="preserve">ORD100054</t>
  </si>
  <si>
    <t xml:space="preserve">CUST8053</t>
  </si>
  <si>
    <t xml:space="preserve">Customer_408</t>
  </si>
  <si>
    <t xml:space="preserve">ORD100055</t>
  </si>
  <si>
    <t xml:space="preserve">CUST1017</t>
  </si>
  <si>
    <t xml:space="preserve">Customer_387</t>
  </si>
  <si>
    <t xml:space="preserve">ORD100056</t>
  </si>
  <si>
    <t xml:space="preserve">CUST2690</t>
  </si>
  <si>
    <t xml:space="preserve">Customer_11</t>
  </si>
  <si>
    <t xml:space="preserve">ORD100057</t>
  </si>
  <si>
    <t xml:space="preserve">CUST2791</t>
  </si>
  <si>
    <t xml:space="preserve">Customer_20</t>
  </si>
  <si>
    <t xml:space="preserve">ORD100058</t>
  </si>
  <si>
    <t xml:space="preserve">CUST4496</t>
  </si>
  <si>
    <t xml:space="preserve">Customer_53</t>
  </si>
  <si>
    <t xml:space="preserve">ORD100059</t>
  </si>
  <si>
    <t xml:space="preserve">CUST8811</t>
  </si>
  <si>
    <t xml:space="preserve">Customer_115</t>
  </si>
  <si>
    <t xml:space="preserve">ORD100060</t>
  </si>
  <si>
    <t xml:space="preserve">CUST2411</t>
  </si>
  <si>
    <t xml:space="preserve">Customer_292</t>
  </si>
  <si>
    <t xml:space="preserve">ORD100061</t>
  </si>
  <si>
    <t xml:space="preserve">CUST2350</t>
  </si>
  <si>
    <t xml:space="preserve">ORD100062</t>
  </si>
  <si>
    <t xml:space="preserve">CUST9745</t>
  </si>
  <si>
    <t xml:space="preserve">ORD100063</t>
  </si>
  <si>
    <t xml:space="preserve">CUST6236</t>
  </si>
  <si>
    <t xml:space="preserve">Customer_312</t>
  </si>
  <si>
    <t xml:space="preserve">ORD100064</t>
  </si>
  <si>
    <t xml:space="preserve">CUST1887</t>
  </si>
  <si>
    <t xml:space="preserve">ORD100065</t>
  </si>
  <si>
    <t xml:space="preserve">CUST5386</t>
  </si>
  <si>
    <t xml:space="preserve">Customer_125</t>
  </si>
  <si>
    <t xml:space="preserve">ORD100066</t>
  </si>
  <si>
    <t xml:space="preserve">CUST8065</t>
  </si>
  <si>
    <t xml:space="preserve">Customer_92</t>
  </si>
  <si>
    <t xml:space="preserve">ORD100067</t>
  </si>
  <si>
    <t xml:space="preserve">CUST8841</t>
  </si>
  <si>
    <t xml:space="preserve">Customer_407</t>
  </si>
  <si>
    <t xml:space="preserve">ORD100068</t>
  </si>
  <si>
    <t xml:space="preserve">CUST5871</t>
  </si>
  <si>
    <t xml:space="preserve">ORD100069</t>
  </si>
  <si>
    <t xml:space="preserve">CUST9869</t>
  </si>
  <si>
    <t xml:space="preserve">Customer_394</t>
  </si>
  <si>
    <t xml:space="preserve">ORD100070</t>
  </si>
  <si>
    <t xml:space="preserve">CUST9017</t>
  </si>
  <si>
    <t xml:space="preserve">Customer_51</t>
  </si>
  <si>
    <t xml:space="preserve">ORD100071</t>
  </si>
  <si>
    <t xml:space="preserve">CUST1808</t>
  </si>
  <si>
    <t xml:space="preserve">Customer_150</t>
  </si>
  <si>
    <t xml:space="preserve">ORD100072</t>
  </si>
  <si>
    <t xml:space="preserve">CUST2565</t>
  </si>
  <si>
    <t xml:space="preserve">Customer_360</t>
  </si>
  <si>
    <t xml:space="preserve">ORD100073</t>
  </si>
  <si>
    <t xml:space="preserve">CUST4958</t>
  </si>
  <si>
    <t xml:space="preserve">Customer_160</t>
  </si>
  <si>
    <t xml:space="preserve">ORD100074</t>
  </si>
  <si>
    <t xml:space="preserve">CUST7587</t>
  </si>
  <si>
    <t xml:space="preserve">Customer_223</t>
  </si>
  <si>
    <t xml:space="preserve">ORD100075</t>
  </si>
  <si>
    <t xml:space="preserve">CUST2157</t>
  </si>
  <si>
    <t xml:space="preserve">Customer_31</t>
  </si>
  <si>
    <t xml:space="preserve">ORD100076</t>
  </si>
  <si>
    <t xml:space="preserve">CUST8430</t>
  </si>
  <si>
    <t xml:space="preserve">Customer_277</t>
  </si>
  <si>
    <t xml:space="preserve">ORD100077</t>
  </si>
  <si>
    <t xml:space="preserve">CUST1956</t>
  </si>
  <si>
    <t xml:space="preserve">Customer_317</t>
  </si>
  <si>
    <t xml:space="preserve">ORD100078</t>
  </si>
  <si>
    <t xml:space="preserve">CUST9846</t>
  </si>
  <si>
    <t xml:space="preserve">Customer_298</t>
  </si>
  <si>
    <t xml:space="preserve">ORD100079</t>
  </si>
  <si>
    <t xml:space="preserve">CUST4706</t>
  </si>
  <si>
    <t xml:space="preserve">Customer_34</t>
  </si>
  <si>
    <t xml:space="preserve">ORD100080</t>
  </si>
  <si>
    <t xml:space="preserve">CUST5607</t>
  </si>
  <si>
    <t xml:space="preserve">Customer_265</t>
  </si>
  <si>
    <t xml:space="preserve">ORD100081</t>
  </si>
  <si>
    <t xml:space="preserve">CUST8211</t>
  </si>
  <si>
    <t xml:space="preserve">Customer_62</t>
  </si>
  <si>
    <t xml:space="preserve">ORD100082</t>
  </si>
  <si>
    <t xml:space="preserve">CUST5367</t>
  </si>
  <si>
    <t xml:space="preserve">ORD100083</t>
  </si>
  <si>
    <t xml:space="preserve">CUST8346</t>
  </si>
  <si>
    <t xml:space="preserve">Customer_384</t>
  </si>
  <si>
    <t xml:space="preserve">ORD100084</t>
  </si>
  <si>
    <t xml:space="preserve">CUST7484</t>
  </si>
  <si>
    <t xml:space="preserve">Customer_478</t>
  </si>
  <si>
    <t xml:space="preserve">ORD100085</t>
  </si>
  <si>
    <t xml:space="preserve">CUST7911</t>
  </si>
  <si>
    <t xml:space="preserve">Customer_7</t>
  </si>
  <si>
    <t xml:space="preserve">ORD100086</t>
  </si>
  <si>
    <t xml:space="preserve">CUST4229</t>
  </si>
  <si>
    <t xml:space="preserve">Customer_234</t>
  </si>
  <si>
    <t xml:space="preserve">ORD100087</t>
  </si>
  <si>
    <t xml:space="preserve">CUST2290</t>
  </si>
  <si>
    <t xml:space="preserve">Customer_195</t>
  </si>
  <si>
    <t xml:space="preserve">ORD100088</t>
  </si>
  <si>
    <t xml:space="preserve">CUST1246</t>
  </si>
  <si>
    <t xml:space="preserve">Customer_165</t>
  </si>
  <si>
    <t xml:space="preserve">ORD100089</t>
  </si>
  <si>
    <t xml:space="preserve">CUST3689</t>
  </si>
  <si>
    <t xml:space="preserve">Customer_179</t>
  </si>
  <si>
    <t xml:space="preserve">ORD100090</t>
  </si>
  <si>
    <t xml:space="preserve">CUST7476</t>
  </si>
  <si>
    <t xml:space="preserve">Customer_45</t>
  </si>
  <si>
    <t xml:space="preserve">ORD100091</t>
  </si>
  <si>
    <t xml:space="preserve">CUST7037</t>
  </si>
  <si>
    <t xml:space="preserve">ORD100092</t>
  </si>
  <si>
    <t xml:space="preserve">CUST8578</t>
  </si>
  <si>
    <t xml:space="preserve">Customer_154</t>
  </si>
  <si>
    <t xml:space="preserve">ORD100093</t>
  </si>
  <si>
    <t xml:space="preserve">CUST6618</t>
  </si>
  <si>
    <t xml:space="preserve">Customer_311</t>
  </si>
  <si>
    <t xml:space="preserve">ORD100094</t>
  </si>
  <si>
    <t xml:space="preserve">CUST4650</t>
  </si>
  <si>
    <t xml:space="preserve">Customer_370</t>
  </si>
  <si>
    <t xml:space="preserve">ORD100095</t>
  </si>
  <si>
    <t xml:space="preserve">CUST5091</t>
  </si>
  <si>
    <t xml:space="preserve">Customer_375</t>
  </si>
  <si>
    <t xml:space="preserve">ORD100096</t>
  </si>
  <si>
    <t xml:space="preserve">CUST2190</t>
  </si>
  <si>
    <t xml:space="preserve">Customer_318</t>
  </si>
  <si>
    <t xml:space="preserve">ORD100097</t>
  </si>
  <si>
    <t xml:space="preserve">CUST7277</t>
  </si>
  <si>
    <t xml:space="preserve">Customer_320</t>
  </si>
  <si>
    <t xml:space="preserve">ORD100098</t>
  </si>
  <si>
    <t xml:space="preserve">CUST8623</t>
  </si>
  <si>
    <t xml:space="preserve">Customer_84</t>
  </si>
  <si>
    <t xml:space="preserve">ORD100099</t>
  </si>
  <si>
    <t xml:space="preserve">CUST5232</t>
  </si>
  <si>
    <t xml:space="preserve">Customer_395</t>
  </si>
  <si>
    <t xml:space="preserve">ORD100100</t>
  </si>
  <si>
    <t xml:space="preserve">CUST7462</t>
  </si>
  <si>
    <t xml:space="preserve">Customer_379</t>
  </si>
  <si>
    <t xml:space="preserve">ORD100101</t>
  </si>
  <si>
    <t xml:space="preserve">CUST7588</t>
  </si>
  <si>
    <t xml:space="preserve">ORD100102</t>
  </si>
  <si>
    <t xml:space="preserve">CUST5005</t>
  </si>
  <si>
    <t xml:space="preserve">Customer_176</t>
  </si>
  <si>
    <t xml:space="preserve">ORD100103</t>
  </si>
  <si>
    <t xml:space="preserve">CUST3210</t>
  </si>
  <si>
    <t xml:space="preserve">Customer_15</t>
  </si>
  <si>
    <t xml:space="preserve">ORD100104</t>
  </si>
  <si>
    <t xml:space="preserve">CUST5926</t>
  </si>
  <si>
    <t xml:space="preserve">Customer_308</t>
  </si>
  <si>
    <t xml:space="preserve">ORD100105</t>
  </si>
  <si>
    <t xml:space="preserve">CUST3809</t>
  </si>
  <si>
    <t xml:space="preserve">ORD100106</t>
  </si>
  <si>
    <t xml:space="preserve">CUST2079</t>
  </si>
  <si>
    <t xml:space="preserve">Customer_35</t>
  </si>
  <si>
    <t xml:space="preserve">ORD100107</t>
  </si>
  <si>
    <t xml:space="preserve">CUST4881</t>
  </si>
  <si>
    <t xml:space="preserve">Customer_389</t>
  </si>
  <si>
    <t xml:space="preserve">ORD100108</t>
  </si>
  <si>
    <t xml:space="preserve">CUST6707</t>
  </si>
  <si>
    <t xml:space="preserve">Customer_420</t>
  </si>
  <si>
    <t xml:space="preserve">ORD100109</t>
  </si>
  <si>
    <t xml:space="preserve">CUST2796</t>
  </si>
  <si>
    <t xml:space="preserve">Customer_471</t>
  </si>
  <si>
    <t xml:space="preserve">ORD100110</t>
  </si>
  <si>
    <t xml:space="preserve">CUST5524</t>
  </si>
  <si>
    <t xml:space="preserve">ORD100111</t>
  </si>
  <si>
    <t xml:space="preserve">CUST9882</t>
  </si>
  <si>
    <t xml:space="preserve">ORD100112</t>
  </si>
  <si>
    <t xml:space="preserve">CUST3001</t>
  </si>
  <si>
    <t xml:space="preserve">Customer_341</t>
  </si>
  <si>
    <t xml:space="preserve">ORD100113</t>
  </si>
  <si>
    <t xml:space="preserve">CUST5433</t>
  </si>
  <si>
    <t xml:space="preserve">Customer_355</t>
  </si>
  <si>
    <t xml:space="preserve">ORD100114</t>
  </si>
  <si>
    <t xml:space="preserve">CUST3794</t>
  </si>
  <si>
    <t xml:space="preserve">ORD100115</t>
  </si>
  <si>
    <t xml:space="preserve">CUST2345</t>
  </si>
  <si>
    <t xml:space="preserve">Customer_302</t>
  </si>
  <si>
    <t xml:space="preserve">ORD100116</t>
  </si>
  <si>
    <t xml:space="preserve">CUST8316</t>
  </si>
  <si>
    <t xml:space="preserve">Customer_121</t>
  </si>
  <si>
    <t xml:space="preserve">ORD100117</t>
  </si>
  <si>
    <t xml:space="preserve">CUST9354</t>
  </si>
  <si>
    <t xml:space="preserve">Customer_241</t>
  </si>
  <si>
    <t xml:space="preserve">ORD100118</t>
  </si>
  <si>
    <t xml:space="preserve">CUST2871</t>
  </si>
  <si>
    <t xml:space="preserve">Customer_8</t>
  </si>
  <si>
    <t xml:space="preserve">ORD100119</t>
  </si>
  <si>
    <t xml:space="preserve">CUST7341</t>
  </si>
  <si>
    <t xml:space="preserve">Customer_457</t>
  </si>
  <si>
    <t xml:space="preserve">CUST3194</t>
  </si>
  <si>
    <t xml:space="preserve">Customer_114</t>
  </si>
  <si>
    <t xml:space="preserve">ORD100121</t>
  </si>
  <si>
    <t xml:space="preserve">CUST9563</t>
  </si>
  <si>
    <t xml:space="preserve">Customer_166</t>
  </si>
  <si>
    <t xml:space="preserve">ORD100122</t>
  </si>
  <si>
    <t xml:space="preserve">CUST2286</t>
  </si>
  <si>
    <t xml:space="preserve">ORD100123</t>
  </si>
  <si>
    <t xml:space="preserve">CUST2423</t>
  </si>
  <si>
    <t xml:space="preserve">Customer_376</t>
  </si>
  <si>
    <t xml:space="preserve">ORD100124</t>
  </si>
  <si>
    <t xml:space="preserve">CUST2378</t>
  </si>
  <si>
    <t xml:space="preserve">Customer_95</t>
  </si>
  <si>
    <t xml:space="preserve">ORD100125</t>
  </si>
  <si>
    <t xml:space="preserve">CUST6995</t>
  </si>
  <si>
    <t xml:space="preserve">Customer_374</t>
  </si>
  <si>
    <t xml:space="preserve">ORD100126</t>
  </si>
  <si>
    <t xml:space="preserve">CUST3677</t>
  </si>
  <si>
    <t xml:space="preserve">Customer_459</t>
  </si>
  <si>
    <t xml:space="preserve">ORD100127</t>
  </si>
  <si>
    <t xml:space="preserve">CUST6627</t>
  </si>
  <si>
    <t xml:space="preserve">Customer_353</t>
  </si>
  <si>
    <t xml:space="preserve">ORD100128</t>
  </si>
  <si>
    <t xml:space="preserve">CUST6238</t>
  </si>
  <si>
    <t xml:space="preserve">Customer_258</t>
  </si>
  <si>
    <t xml:space="preserve">ORD100129</t>
  </si>
  <si>
    <t xml:space="preserve">CUST8352</t>
  </si>
  <si>
    <t xml:space="preserve">Customer_400</t>
  </si>
  <si>
    <t xml:space="preserve">ORD100130</t>
  </si>
  <si>
    <t xml:space="preserve">CUST2870</t>
  </si>
  <si>
    <t xml:space="preserve">Customer_495</t>
  </si>
  <si>
    <t xml:space="preserve">ORD100131</t>
  </si>
  <si>
    <t xml:space="preserve">CUST4751</t>
  </si>
  <si>
    <t xml:space="preserve">Customer_260</t>
  </si>
  <si>
    <t xml:space="preserve">ORD100132</t>
  </si>
  <si>
    <t xml:space="preserve">CUST7031</t>
  </si>
  <si>
    <t xml:space="preserve">ORD100133</t>
  </si>
  <si>
    <t xml:space="preserve">CUST8366</t>
  </si>
  <si>
    <t xml:space="preserve">ORD100134</t>
  </si>
  <si>
    <t xml:space="preserve">CUST2863</t>
  </si>
  <si>
    <t xml:space="preserve">ORD100135</t>
  </si>
  <si>
    <t xml:space="preserve">CUST8298</t>
  </si>
  <si>
    <t xml:space="preserve">Customer_489</t>
  </si>
  <si>
    <t xml:space="preserve">ORD100136</t>
  </si>
  <si>
    <t xml:space="preserve">CUST9577</t>
  </si>
  <si>
    <t xml:space="preserve">ORD100137</t>
  </si>
  <si>
    <t xml:space="preserve">CUST3054</t>
  </si>
  <si>
    <t xml:space="preserve">Customer_96</t>
  </si>
  <si>
    <t xml:space="preserve">ORD100138</t>
  </si>
  <si>
    <t xml:space="preserve">CUST6791</t>
  </si>
  <si>
    <t xml:space="preserve">Customer_430</t>
  </si>
  <si>
    <t xml:space="preserve">ORD100139</t>
  </si>
  <si>
    <t xml:space="preserve">CUST7062</t>
  </si>
  <si>
    <t xml:space="preserve">ORD100140</t>
  </si>
  <si>
    <t xml:space="preserve">CUST6625</t>
  </si>
  <si>
    <t xml:space="preserve">ORD100141</t>
  </si>
  <si>
    <t xml:space="preserve">CUST4824</t>
  </si>
  <si>
    <t xml:space="preserve">Customer_98</t>
  </si>
  <si>
    <t xml:space="preserve">ORD100142</t>
  </si>
  <si>
    <t xml:space="preserve">CUST1339</t>
  </si>
  <si>
    <t xml:space="preserve">Customer_107</t>
  </si>
  <si>
    <t xml:space="preserve">ORD100143</t>
  </si>
  <si>
    <t xml:space="preserve">CUST1113</t>
  </si>
  <si>
    <t xml:space="preserve">Customer_104</t>
  </si>
  <si>
    <t xml:space="preserve">ORD100144</t>
  </si>
  <si>
    <t xml:space="preserve">CUST4034</t>
  </si>
  <si>
    <t xml:space="preserve">Customer_271</t>
  </si>
  <si>
    <t xml:space="preserve">ORD100145</t>
  </si>
  <si>
    <t xml:space="preserve">CUST6997</t>
  </si>
  <si>
    <t xml:space="preserve">Customer_244</t>
  </si>
  <si>
    <t xml:space="preserve">ORD100146</t>
  </si>
  <si>
    <t xml:space="preserve">CUST2480</t>
  </si>
  <si>
    <t xml:space="preserve">Customer_491</t>
  </si>
  <si>
    <t xml:space="preserve">ORD100147</t>
  </si>
  <si>
    <t xml:space="preserve">CUST9450</t>
  </si>
  <si>
    <t xml:space="preserve">Customer_230</t>
  </si>
  <si>
    <t xml:space="preserve">ORD100148</t>
  </si>
  <si>
    <t xml:space="preserve">CUST8408</t>
  </si>
  <si>
    <t xml:space="preserve">Customer_249</t>
  </si>
  <si>
    <t xml:space="preserve">ORD100149</t>
  </si>
  <si>
    <t xml:space="preserve">CUST7178</t>
  </si>
  <si>
    <t xml:space="preserve">ORD100150</t>
  </si>
  <si>
    <t xml:space="preserve">CUST4132</t>
  </si>
  <si>
    <t xml:space="preserve">Customer_47</t>
  </si>
  <si>
    <t xml:space="preserve">ORD100151</t>
  </si>
  <si>
    <t xml:space="preserve">CUST4829</t>
  </si>
  <si>
    <t xml:space="preserve">Customer_202</t>
  </si>
  <si>
    <t xml:space="preserve">ORD100152</t>
  </si>
  <si>
    <t xml:space="preserve">CUST5188</t>
  </si>
  <si>
    <t xml:space="preserve">Customer_286</t>
  </si>
  <si>
    <t xml:space="preserve">ORD100153</t>
  </si>
  <si>
    <t xml:space="preserve">CUST1928</t>
  </si>
  <si>
    <t xml:space="preserve">Customer_17</t>
  </si>
  <si>
    <t xml:space="preserve">ORD100154</t>
  </si>
  <si>
    <t xml:space="preserve">CUST3887</t>
  </si>
  <si>
    <t xml:space="preserve">Customer_371</t>
  </si>
  <si>
    <t xml:space="preserve">ORD100155</t>
  </si>
  <si>
    <t xml:space="preserve">CUST5211</t>
  </si>
  <si>
    <t xml:space="preserve">Customer_215</t>
  </si>
  <si>
    <t xml:space="preserve">ORD100156</t>
  </si>
  <si>
    <t xml:space="preserve">CUST2236</t>
  </si>
  <si>
    <t xml:space="preserve">ORD100157</t>
  </si>
  <si>
    <t xml:space="preserve">CUST5375</t>
  </si>
  <si>
    <t xml:space="preserve">ORD100158</t>
  </si>
  <si>
    <t xml:space="preserve">CUST4137</t>
  </si>
  <si>
    <t xml:space="preserve">Customer_221</t>
  </si>
  <si>
    <t xml:space="preserve">ORD100159</t>
  </si>
  <si>
    <t xml:space="preserve">CUST5113</t>
  </si>
  <si>
    <t xml:space="preserve">ORD100160</t>
  </si>
  <si>
    <t xml:space="preserve">CUST7263</t>
  </si>
  <si>
    <t xml:space="preserve">Customer_120</t>
  </si>
  <si>
    <t xml:space="preserve">ORD100161</t>
  </si>
  <si>
    <t xml:space="preserve">CUST2562</t>
  </si>
  <si>
    <t xml:space="preserve">Customer_280</t>
  </si>
  <si>
    <t xml:space="preserve">ORD100162</t>
  </si>
  <si>
    <t xml:space="preserve">CUST9297</t>
  </si>
  <si>
    <t xml:space="preserve">Customer_488</t>
  </si>
  <si>
    <t xml:space="preserve">ORD100163</t>
  </si>
  <si>
    <t xml:space="preserve">CUST2295</t>
  </si>
  <si>
    <t xml:space="preserve">Customer_319</t>
  </si>
  <si>
    <t xml:space="preserve">ORD100164</t>
  </si>
  <si>
    <t xml:space="preserve">CUST3839</t>
  </si>
  <si>
    <t xml:space="preserve">Customer_274</t>
  </si>
  <si>
    <t xml:space="preserve">ORD100165</t>
  </si>
  <si>
    <t xml:space="preserve">CUST8010</t>
  </si>
  <si>
    <t xml:space="preserve">Customer_187</t>
  </si>
  <si>
    <t xml:space="preserve">ORD100166</t>
  </si>
  <si>
    <t xml:space="preserve">CUST9008</t>
  </si>
  <si>
    <t xml:space="preserve">Customer_279</t>
  </si>
  <si>
    <t xml:space="preserve">ORD100167</t>
  </si>
  <si>
    <t xml:space="preserve">CUST3714</t>
  </si>
  <si>
    <t xml:space="preserve">Customer_295</t>
  </si>
  <si>
    <t xml:space="preserve">ORD100168</t>
  </si>
  <si>
    <t xml:space="preserve">CUST5036</t>
  </si>
  <si>
    <t xml:space="preserve">Customer_468</t>
  </si>
  <si>
    <t xml:space="preserve">ORD100169</t>
  </si>
  <si>
    <t xml:space="preserve">CUST1479</t>
  </si>
  <si>
    <t xml:space="preserve">ORD100170</t>
  </si>
  <si>
    <t xml:space="preserve">CUST9875</t>
  </si>
  <si>
    <t xml:space="preserve">Customer_6</t>
  </si>
  <si>
    <t xml:space="preserve">ORD100171</t>
  </si>
  <si>
    <t xml:space="preserve">CUST3522</t>
  </si>
  <si>
    <t xml:space="preserve">ORD100172</t>
  </si>
  <si>
    <t xml:space="preserve">CUST4062</t>
  </si>
  <si>
    <t xml:space="preserve">Customer_23</t>
  </si>
  <si>
    <t xml:space="preserve">ORD100173</t>
  </si>
  <si>
    <t xml:space="preserve">CUST4009</t>
  </si>
  <si>
    <t xml:space="preserve">Customer_273</t>
  </si>
  <si>
    <t xml:space="preserve">ORD100174</t>
  </si>
  <si>
    <t xml:space="preserve">CUST4685</t>
  </si>
  <si>
    <t xml:space="preserve">Customer_22</t>
  </si>
  <si>
    <t xml:space="preserve">ORD100175</t>
  </si>
  <si>
    <t xml:space="preserve">CUST3564</t>
  </si>
  <si>
    <t xml:space="preserve">Customer_267</t>
  </si>
  <si>
    <t xml:space="preserve">ORD100176</t>
  </si>
  <si>
    <t xml:space="preserve">CUST8722</t>
  </si>
  <si>
    <t xml:space="preserve">Customer_475</t>
  </si>
  <si>
    <t xml:space="preserve">ORD100177</t>
  </si>
  <si>
    <t xml:space="preserve">CUST3602</t>
  </si>
  <si>
    <t xml:space="preserve">ORD100178</t>
  </si>
  <si>
    <t xml:space="preserve">CUST9812</t>
  </si>
  <si>
    <t xml:space="preserve">Customer_333</t>
  </si>
  <si>
    <t xml:space="preserve">ORD100179</t>
  </si>
  <si>
    <t xml:space="preserve">CUST4747</t>
  </si>
  <si>
    <t xml:space="preserve">Customer_193</t>
  </si>
  <si>
    <t xml:space="preserve">ORD100180</t>
  </si>
  <si>
    <t xml:space="preserve">CUST1766</t>
  </si>
  <si>
    <t xml:space="preserve">ORD100181</t>
  </si>
  <si>
    <t xml:space="preserve">CUST3366</t>
  </si>
  <si>
    <t xml:space="preserve">Customer_363</t>
  </si>
  <si>
    <t xml:space="preserve">ORD100182</t>
  </si>
  <si>
    <t xml:space="preserve">CUST1215</t>
  </si>
  <si>
    <t xml:space="preserve">Customer_19</t>
  </si>
  <si>
    <t xml:space="preserve">ORD100183</t>
  </si>
  <si>
    <t xml:space="preserve">Customer_163</t>
  </si>
  <si>
    <t xml:space="preserve">ORD100184</t>
  </si>
  <si>
    <t xml:space="preserve">CUST5988</t>
  </si>
  <si>
    <t xml:space="preserve">Customer_266</t>
  </si>
  <si>
    <t xml:space="preserve">ORD100185</t>
  </si>
  <si>
    <t xml:space="preserve">CUST3662</t>
  </si>
  <si>
    <t xml:space="preserve">ORD100186</t>
  </si>
  <si>
    <t xml:space="preserve">CUST3397</t>
  </si>
  <si>
    <t xml:space="preserve">Customer_101</t>
  </si>
  <si>
    <t xml:space="preserve">ORD100187</t>
  </si>
  <si>
    <t xml:space="preserve">CUST4777</t>
  </si>
  <si>
    <t xml:space="preserve">Customer_233</t>
  </si>
  <si>
    <t xml:space="preserve">ORD100188</t>
  </si>
  <si>
    <t xml:space="preserve">CUST9059</t>
  </si>
  <si>
    <t xml:space="preserve">Customer_288</t>
  </si>
  <si>
    <t xml:space="preserve">ORD100189</t>
  </si>
  <si>
    <t xml:space="preserve">CUST5600</t>
  </si>
  <si>
    <t xml:space="preserve">ORD100190</t>
  </si>
  <si>
    <t xml:space="preserve">CUST7574</t>
  </si>
  <si>
    <t xml:space="preserve">Customer_66</t>
  </si>
  <si>
    <t xml:space="preserve">ORD100191</t>
  </si>
  <si>
    <t xml:space="preserve">CUST1436</t>
  </si>
  <si>
    <t xml:space="preserve">ORD100192</t>
  </si>
  <si>
    <t xml:space="preserve">CUST3625</t>
  </si>
  <si>
    <t xml:space="preserve">Customer_382</t>
  </si>
  <si>
    <t xml:space="preserve">ORD100193</t>
  </si>
  <si>
    <t xml:space="preserve">CUST5168</t>
  </si>
  <si>
    <t xml:space="preserve">ORD100194</t>
  </si>
  <si>
    <t xml:space="preserve">CUST6821</t>
  </si>
  <si>
    <t xml:space="preserve">Customer_73</t>
  </si>
  <si>
    <t xml:space="preserve">ORD100195</t>
  </si>
  <si>
    <t xml:space="preserve">CUST6228</t>
  </si>
  <si>
    <t xml:space="preserve">Customer_466</t>
  </si>
  <si>
    <t xml:space="preserve">ORD100196</t>
  </si>
  <si>
    <t xml:space="preserve">CUST3002</t>
  </si>
  <si>
    <t xml:space="preserve">Customer_57</t>
  </si>
  <si>
    <t xml:space="preserve">ORD100197</t>
  </si>
  <si>
    <t xml:space="preserve">CUST3685</t>
  </si>
  <si>
    <t xml:space="preserve">Customer_94</t>
  </si>
  <si>
    <t xml:space="preserve">ORD100198</t>
  </si>
  <si>
    <t xml:space="preserve">CUST3417</t>
  </si>
  <si>
    <t xml:space="preserve">Customer_102</t>
  </si>
  <si>
    <t xml:space="preserve">ORD100199</t>
  </si>
  <si>
    <t xml:space="preserve">CUST7187</t>
  </si>
  <si>
    <t xml:space="preserve">Customer_149</t>
  </si>
  <si>
    <t xml:space="preserve">ORD100200</t>
  </si>
  <si>
    <t xml:space="preserve">CUST2953</t>
  </si>
  <si>
    <t xml:space="preserve">Customer_435</t>
  </si>
  <si>
    <t xml:space="preserve">ORD100201</t>
  </si>
  <si>
    <t xml:space="preserve">CUST2779</t>
  </si>
  <si>
    <t xml:space="preserve">Customer_336</t>
  </si>
  <si>
    <t xml:space="preserve">ORD100202</t>
  </si>
  <si>
    <t xml:space="preserve">CUST6564</t>
  </si>
  <si>
    <t xml:space="preserve">Customer_216</t>
  </si>
  <si>
    <t xml:space="preserve">ORD100203</t>
  </si>
  <si>
    <t xml:space="preserve">CUST4996</t>
  </si>
  <si>
    <t xml:space="preserve">Customer_449</t>
  </si>
  <si>
    <t xml:space="preserve">ORD100204</t>
  </si>
  <si>
    <t xml:space="preserve">CUST2428</t>
  </si>
  <si>
    <t xml:space="preserve">Customer_127</t>
  </si>
  <si>
    <t xml:space="preserve">ORD100205</t>
  </si>
  <si>
    <t xml:space="preserve">CUST2448</t>
  </si>
  <si>
    <t xml:space="preserve">Customer_444</t>
  </si>
  <si>
    <t xml:space="preserve">ORD100206</t>
  </si>
  <si>
    <t xml:space="preserve">CUST1049</t>
  </si>
  <si>
    <t xml:space="preserve">Customer_243</t>
  </si>
  <si>
    <t xml:space="preserve">ORD100207</t>
  </si>
  <si>
    <t xml:space="preserve">CUST9728</t>
  </si>
  <si>
    <t xml:space="preserve">Customer_338</t>
  </si>
  <si>
    <t xml:space="preserve">ORD100208</t>
  </si>
  <si>
    <t xml:space="preserve">CUST6932</t>
  </si>
  <si>
    <t xml:space="preserve">Customer_304</t>
  </si>
  <si>
    <t xml:space="preserve">ORD100209</t>
  </si>
  <si>
    <t xml:space="preserve">CUST9159</t>
  </si>
  <si>
    <t xml:space="preserve">Customer_12</t>
  </si>
  <si>
    <t xml:space="preserve">ORD100210</t>
  </si>
  <si>
    <t xml:space="preserve">CUST6518</t>
  </si>
  <si>
    <t xml:space="preserve">Customer_410</t>
  </si>
  <si>
    <t xml:space="preserve">ORD100211</t>
  </si>
  <si>
    <t xml:space="preserve">CUST4756</t>
  </si>
  <si>
    <t xml:space="preserve">ORD100212</t>
  </si>
  <si>
    <t xml:space="preserve">CUST7659</t>
  </si>
  <si>
    <t xml:space="preserve">Customer_445</t>
  </si>
  <si>
    <t xml:space="preserve">ORD100213</t>
  </si>
  <si>
    <t xml:space="preserve">CUST6727</t>
  </si>
  <si>
    <t xml:space="preserve">Customer_452</t>
  </si>
  <si>
    <t xml:space="preserve">ORD100214</t>
  </si>
  <si>
    <t xml:space="preserve">CUST8049</t>
  </si>
  <si>
    <t xml:space="preserve">ORD100215</t>
  </si>
  <si>
    <t xml:space="preserve">CUST4705</t>
  </si>
  <si>
    <t xml:space="preserve">ORD100216</t>
  </si>
  <si>
    <t xml:space="preserve">CUST5355</t>
  </si>
  <si>
    <t xml:space="preserve">Customer_108</t>
  </si>
  <si>
    <t xml:space="preserve">ORD100217</t>
  </si>
  <si>
    <t xml:space="preserve">CUST3186</t>
  </si>
  <si>
    <t xml:space="preserve">Customer_412</t>
  </si>
  <si>
    <t xml:space="preserve">ORD100218</t>
  </si>
  <si>
    <t xml:space="preserve">CUST1822</t>
  </si>
  <si>
    <t xml:space="preserve">Customer_174</t>
  </si>
  <si>
    <t xml:space="preserve">ORD100219</t>
  </si>
  <si>
    <t xml:space="preserve">CUST9645</t>
  </si>
  <si>
    <t xml:space="preserve">ORD100220</t>
  </si>
  <si>
    <t xml:space="preserve">CUST2997</t>
  </si>
  <si>
    <t xml:space="preserve">ORD100221</t>
  </si>
  <si>
    <t xml:space="preserve">CUST2088</t>
  </si>
  <si>
    <t xml:space="preserve">ORD100222</t>
  </si>
  <si>
    <t xml:space="preserve">CUST1711</t>
  </si>
  <si>
    <t xml:space="preserve">Customer_36</t>
  </si>
  <si>
    <t xml:space="preserve">ORD100223</t>
  </si>
  <si>
    <t xml:space="preserve">CUST9840</t>
  </si>
  <si>
    <t xml:space="preserve">Customer_347</t>
  </si>
  <si>
    <t xml:space="preserve">ORD100224</t>
  </si>
  <si>
    <t xml:space="preserve">CUST7613</t>
  </si>
  <si>
    <t xml:space="preserve">ORD100225</t>
  </si>
  <si>
    <t xml:space="preserve">CUST1443</t>
  </si>
  <si>
    <t xml:space="preserve">ORD100226</t>
  </si>
  <si>
    <t xml:space="preserve">CUST9319</t>
  </si>
  <si>
    <t xml:space="preserve">Customer_434</t>
  </si>
  <si>
    <t xml:space="preserve">ORD100227</t>
  </si>
  <si>
    <t xml:space="preserve">CUST6773</t>
  </si>
  <si>
    <t xml:space="preserve">Customer_200</t>
  </si>
  <si>
    <t xml:space="preserve">ORD100228</t>
  </si>
  <si>
    <t xml:space="preserve">CUST5214</t>
  </si>
  <si>
    <t xml:space="preserve">Customer_142</t>
  </si>
  <si>
    <t xml:space="preserve">ORD100229</t>
  </si>
  <si>
    <t xml:space="preserve">CUST3618</t>
  </si>
  <si>
    <t xml:space="preserve">Customer_131</t>
  </si>
  <si>
    <t xml:space="preserve">ORD100230</t>
  </si>
  <si>
    <t xml:space="preserve">CUST3668</t>
  </si>
  <si>
    <t xml:space="preserve">ORD100231</t>
  </si>
  <si>
    <t xml:space="preserve">CUST7315</t>
  </si>
  <si>
    <t xml:space="preserve">Customer_283</t>
  </si>
  <si>
    <t xml:space="preserve">ORD100232</t>
  </si>
  <si>
    <t xml:space="preserve">CUST9158</t>
  </si>
  <si>
    <t xml:space="preserve">Customer_297</t>
  </si>
  <si>
    <t xml:space="preserve">ORD100233</t>
  </si>
  <si>
    <t xml:space="preserve">CUST6522</t>
  </si>
  <si>
    <t xml:space="preserve">ORD100234</t>
  </si>
  <si>
    <t xml:space="preserve">CUST3760</t>
  </si>
  <si>
    <t xml:space="preserve">ORD100235</t>
  </si>
  <si>
    <t xml:space="preserve">CUST5079</t>
  </si>
  <si>
    <t xml:space="preserve">ORD100236</t>
  </si>
  <si>
    <t xml:space="preserve">CUST6082</t>
  </si>
  <si>
    <t xml:space="preserve">Customer_301</t>
  </si>
  <si>
    <t xml:space="preserve">ORD100237</t>
  </si>
  <si>
    <t xml:space="preserve">CUST8311</t>
  </si>
  <si>
    <t xml:space="preserve">Customer_225</t>
  </si>
  <si>
    <t xml:space="preserve">ORD100238</t>
  </si>
  <si>
    <t xml:space="preserve">CUST5945</t>
  </si>
  <si>
    <t xml:space="preserve">Customer_49</t>
  </si>
  <si>
    <t xml:space="preserve">ORD100239</t>
  </si>
  <si>
    <t xml:space="preserve">CUST9191</t>
  </si>
  <si>
    <t xml:space="preserve">Customer_323</t>
  </si>
  <si>
    <t xml:space="preserve">CUST8467</t>
  </si>
  <si>
    <t xml:space="preserve">ORD100241</t>
  </si>
  <si>
    <t xml:space="preserve">CUST1197</t>
  </si>
  <si>
    <t xml:space="preserve">Customer_419</t>
  </si>
  <si>
    <t xml:space="preserve">ORD100242</t>
  </si>
  <si>
    <t xml:space="preserve">CUST6111</t>
  </si>
  <si>
    <t xml:space="preserve">Customer_204</t>
  </si>
  <si>
    <t xml:space="preserve">ORD100243</t>
  </si>
  <si>
    <t xml:space="preserve">CUST1367</t>
  </si>
  <si>
    <t xml:space="preserve">ORD100244</t>
  </si>
  <si>
    <t xml:space="preserve">CUST6584</t>
  </si>
  <si>
    <t xml:space="preserve">ORD100245</t>
  </si>
  <si>
    <t xml:space="preserve">CUST2862</t>
  </si>
  <si>
    <t xml:space="preserve">ORD100246</t>
  </si>
  <si>
    <t xml:space="preserve">CUST4094</t>
  </si>
  <si>
    <t xml:space="preserve">ORD100247</t>
  </si>
  <si>
    <t xml:space="preserve">CUST5129</t>
  </si>
  <si>
    <t xml:space="preserve">Customer_404</t>
  </si>
  <si>
    <t xml:space="preserve">ORD100248</t>
  </si>
  <si>
    <t xml:space="preserve">CUST4629</t>
  </si>
  <si>
    <t xml:space="preserve">Customer_167</t>
  </si>
  <si>
    <t xml:space="preserve">ORD100249</t>
  </si>
  <si>
    <t xml:space="preserve">CUST5454</t>
  </si>
  <si>
    <t xml:space="preserve">Customer_368</t>
  </si>
  <si>
    <t xml:space="preserve">ORD100250</t>
  </si>
  <si>
    <t xml:space="preserve">CUST3169</t>
  </si>
  <si>
    <t xml:space="preserve">Customer_138</t>
  </si>
  <si>
    <t xml:space="preserve">ORD100251</t>
  </si>
  <si>
    <t xml:space="preserve">CUST9047</t>
  </si>
  <si>
    <t xml:space="preserve">ORD100252</t>
  </si>
  <si>
    <t xml:space="preserve">CUST9097</t>
  </si>
  <si>
    <t xml:space="preserve">ORD100253</t>
  </si>
  <si>
    <t xml:space="preserve">CUST2006</t>
  </si>
  <si>
    <t xml:space="preserve">ORD100254</t>
  </si>
  <si>
    <t xml:space="preserve">CUST5418</t>
  </si>
  <si>
    <t xml:space="preserve">ORD100255</t>
  </si>
  <si>
    <t xml:space="preserve">CUST8067</t>
  </si>
  <si>
    <t xml:space="preserve">ORD100256</t>
  </si>
  <si>
    <t xml:space="preserve">CUST3080</t>
  </si>
  <si>
    <t xml:space="preserve">Customer_378</t>
  </si>
  <si>
    <t xml:space="preserve">ORD100257</t>
  </si>
  <si>
    <t xml:space="preserve">CUST6728</t>
  </si>
  <si>
    <t xml:space="preserve">Customer_413</t>
  </si>
  <si>
    <t xml:space="preserve">ORD100258</t>
  </si>
  <si>
    <t xml:space="preserve">CUST7801</t>
  </si>
  <si>
    <t xml:space="preserve">ORD100259</t>
  </si>
  <si>
    <t xml:space="preserve">CUST4686</t>
  </si>
  <si>
    <t xml:space="preserve">Customer_473</t>
  </si>
  <si>
    <t xml:space="preserve">ORD100260</t>
  </si>
  <si>
    <t xml:space="preserve">CUST6345</t>
  </si>
  <si>
    <t xml:space="preserve">ORD100261</t>
  </si>
  <si>
    <t xml:space="preserve">CUST6927</t>
  </si>
  <si>
    <t xml:space="preserve">ORD100262</t>
  </si>
  <si>
    <t xml:space="preserve">CUST8686</t>
  </si>
  <si>
    <t xml:space="preserve">ORD100263</t>
  </si>
  <si>
    <t xml:space="preserve">CUST6585</t>
  </si>
  <si>
    <t xml:space="preserve">Customer_214</t>
  </si>
  <si>
    <t xml:space="preserve">ORD100264</t>
  </si>
  <si>
    <t xml:space="preserve">CUST7176</t>
  </si>
  <si>
    <t xml:space="preserve">ORD100265</t>
  </si>
  <si>
    <t xml:space="preserve">CUST9233</t>
  </si>
  <si>
    <t xml:space="preserve">Customer_485</t>
  </si>
  <si>
    <t xml:space="preserve">ORD100266</t>
  </si>
  <si>
    <t xml:space="preserve">CUST7501</t>
  </si>
  <si>
    <t xml:space="preserve">Customer_2</t>
  </si>
  <si>
    <t xml:space="preserve">ORD100267</t>
  </si>
  <si>
    <t xml:space="preserve">CUST7082</t>
  </si>
  <si>
    <t xml:space="preserve">Customer_492</t>
  </si>
  <si>
    <t xml:space="preserve">ORD100268</t>
  </si>
  <si>
    <t xml:space="preserve">CUST2463</t>
  </si>
  <si>
    <t xml:space="preserve">Customer_390</t>
  </si>
  <si>
    <t xml:space="preserve">ORD100269</t>
  </si>
  <si>
    <t xml:space="preserve">CUST1662</t>
  </si>
  <si>
    <t xml:space="preserve">Customer_365</t>
  </si>
  <si>
    <t xml:space="preserve">ORD100270</t>
  </si>
  <si>
    <t xml:space="preserve">CUST7413</t>
  </si>
  <si>
    <t xml:space="preserve">Customer_4</t>
  </si>
  <si>
    <t xml:space="preserve">ORD100271</t>
  </si>
  <si>
    <t xml:space="preserve">CUST1994</t>
  </si>
  <si>
    <t xml:space="preserve">ORD100272</t>
  </si>
  <si>
    <t xml:space="preserve">CUST6173</t>
  </si>
  <si>
    <t xml:space="preserve">ORD100273</t>
  </si>
  <si>
    <t xml:space="preserve">CUST7374</t>
  </si>
  <si>
    <t xml:space="preserve">ORD100274</t>
  </si>
  <si>
    <t xml:space="preserve">CUST4737</t>
  </si>
  <si>
    <t xml:space="preserve">Customer_367</t>
  </si>
  <si>
    <t xml:space="preserve">ORD100275</t>
  </si>
  <si>
    <t xml:space="preserve">ORD100276</t>
  </si>
  <si>
    <t xml:space="preserve">CUST6444</t>
  </si>
  <si>
    <t xml:space="preserve">Customer_251</t>
  </si>
  <si>
    <t xml:space="preserve">ORD100277</t>
  </si>
  <si>
    <t xml:space="preserve">CUST2152</t>
  </si>
  <si>
    <t xml:space="preserve">Customer_99</t>
  </si>
  <si>
    <t xml:space="preserve">ORD100278</t>
  </si>
  <si>
    <t xml:space="preserve">CUST1636</t>
  </si>
  <si>
    <t xml:space="preserve">ORD100279</t>
  </si>
  <si>
    <t xml:space="preserve">CUST3341</t>
  </si>
  <si>
    <t xml:space="preserve">Customer_263</t>
  </si>
  <si>
    <t xml:space="preserve">ORD100280</t>
  </si>
  <si>
    <t xml:space="preserve">CUST1463</t>
  </si>
  <si>
    <t xml:space="preserve">Customer_397</t>
  </si>
  <si>
    <t xml:space="preserve">ORD100281</t>
  </si>
  <si>
    <t xml:space="preserve">CUST3877</t>
  </si>
  <si>
    <t xml:space="preserve">Customer_133</t>
  </si>
  <si>
    <t xml:space="preserve">ORD100282</t>
  </si>
  <si>
    <t xml:space="preserve">CUST6407</t>
  </si>
  <si>
    <t xml:space="preserve">Customer_157</t>
  </si>
  <si>
    <t xml:space="preserve">ORD100283</t>
  </si>
  <si>
    <t xml:space="preserve">CUST4381</t>
  </si>
  <si>
    <t xml:space="preserve">Customer_324</t>
  </si>
  <si>
    <t xml:space="preserve">ORD100284</t>
  </si>
  <si>
    <t xml:space="preserve">CUST5097</t>
  </si>
  <si>
    <t xml:space="preserve">ORD100285</t>
  </si>
  <si>
    <t xml:space="preserve">CUST9910</t>
  </si>
  <si>
    <t xml:space="preserve">Customer_110</t>
  </si>
  <si>
    <t xml:space="preserve">ORD100286</t>
  </si>
  <si>
    <t xml:space="preserve">CUST7806</t>
  </si>
  <si>
    <t xml:space="preserve">ORD100287</t>
  </si>
  <si>
    <t xml:space="preserve">CUST8105</t>
  </si>
  <si>
    <t xml:space="preserve">Customer_385</t>
  </si>
  <si>
    <t xml:space="preserve">ORD100288</t>
  </si>
  <si>
    <t xml:space="preserve">CUST6002</t>
  </si>
  <si>
    <t xml:space="preserve">Customer_83</t>
  </si>
  <si>
    <t xml:space="preserve">ORD100289</t>
  </si>
  <si>
    <t xml:space="preserve">CUST1334</t>
  </si>
  <si>
    <t xml:space="preserve">Customer_364</t>
  </si>
  <si>
    <t xml:space="preserve">ORD100290</t>
  </si>
  <si>
    <t xml:space="preserve">CUST9248</t>
  </si>
  <si>
    <t xml:space="preserve">Customer_451</t>
  </si>
  <si>
    <t xml:space="preserve">ORD100291</t>
  </si>
  <si>
    <t xml:space="preserve">CUST7152</t>
  </si>
  <si>
    <t xml:space="preserve">Customer_423</t>
  </si>
  <si>
    <t xml:space="preserve">ORD100292</t>
  </si>
  <si>
    <t xml:space="preserve">CUST8650</t>
  </si>
  <si>
    <t xml:space="preserve">ORD100293</t>
  </si>
  <si>
    <t xml:space="preserve">CUST9284</t>
  </si>
  <si>
    <t xml:space="preserve">Customer_212</t>
  </si>
  <si>
    <t xml:space="preserve">ORD100294</t>
  </si>
  <si>
    <t xml:space="preserve">CUST4169</t>
  </si>
  <si>
    <t xml:space="preserve">Customer_307</t>
  </si>
  <si>
    <t xml:space="preserve">ORD100295</t>
  </si>
  <si>
    <t xml:space="preserve">CUST3464</t>
  </si>
  <si>
    <t xml:space="preserve">Customer_1</t>
  </si>
  <si>
    <t xml:space="preserve">ORD100296</t>
  </si>
  <si>
    <t xml:space="preserve">CUST8294</t>
  </si>
  <si>
    <t xml:space="preserve">ORD100297</t>
  </si>
  <si>
    <t xml:space="preserve">CUST4845</t>
  </si>
  <si>
    <t xml:space="preserve">Customer_401</t>
  </si>
  <si>
    <t xml:space="preserve">ORD100298</t>
  </si>
  <si>
    <t xml:space="preserve">CUST6538</t>
  </si>
  <si>
    <t xml:space="preserve">ORD100299</t>
  </si>
  <si>
    <t xml:space="preserve">CUST6028</t>
  </si>
  <si>
    <t xml:space="preserve">Customer_58</t>
  </si>
  <si>
    <t xml:space="preserve">ORD100300</t>
  </si>
  <si>
    <t xml:space="preserve">CUST7944</t>
  </si>
  <si>
    <t xml:space="preserve">Customer_282</t>
  </si>
  <si>
    <t xml:space="preserve">ORD100301</t>
  </si>
  <si>
    <t xml:space="preserve">CUST5406</t>
  </si>
  <si>
    <t xml:space="preserve">Customer_164</t>
  </si>
  <si>
    <t xml:space="preserve">ORD100302</t>
  </si>
  <si>
    <t xml:space="preserve">CUST9552</t>
  </si>
  <si>
    <t xml:space="preserve">Customer_340</t>
  </si>
  <si>
    <t xml:space="preserve">ORD100303</t>
  </si>
  <si>
    <t xml:space="preserve">CUST3059</t>
  </si>
  <si>
    <t xml:space="preserve">ORD100304</t>
  </si>
  <si>
    <t xml:space="preserve">CUST1183</t>
  </si>
  <si>
    <t xml:space="preserve">Customer_189</t>
  </si>
  <si>
    <t xml:space="preserve">ORD100305</t>
  </si>
  <si>
    <t xml:space="preserve">CUST1088</t>
  </si>
  <si>
    <t xml:space="preserve">ORD100306</t>
  </si>
  <si>
    <t xml:space="preserve">CUST8195</t>
  </si>
  <si>
    <t xml:space="preserve">ORD100307</t>
  </si>
  <si>
    <t xml:space="preserve">CUST1231</t>
  </si>
  <si>
    <t xml:space="preserve">Customer_339</t>
  </si>
  <si>
    <t xml:space="preserve">ORD100308</t>
  </si>
  <si>
    <t xml:space="preserve">CUST6206</t>
  </si>
  <si>
    <t xml:space="preserve">Customer_18</t>
  </si>
  <si>
    <t xml:space="preserve">ORD100309</t>
  </si>
  <si>
    <t xml:space="preserve">CUST7625</t>
  </si>
  <si>
    <t xml:space="preserve">ORD100310</t>
  </si>
  <si>
    <t xml:space="preserve">CUST1762</t>
  </si>
  <si>
    <t xml:space="preserve">Customer_141</t>
  </si>
  <si>
    <t xml:space="preserve">ORD100311</t>
  </si>
  <si>
    <t xml:space="preserve">CUST1743</t>
  </si>
  <si>
    <t xml:space="preserve">Customer_222</t>
  </si>
  <si>
    <t xml:space="preserve">ORD100312</t>
  </si>
  <si>
    <t xml:space="preserve">CUST9788</t>
  </si>
  <si>
    <t xml:space="preserve">Customer_229</t>
  </si>
  <si>
    <t xml:space="preserve">ORD100313</t>
  </si>
  <si>
    <t xml:space="preserve">CUST2687</t>
  </si>
  <si>
    <t xml:space="preserve">ORD100314</t>
  </si>
  <si>
    <t xml:space="preserve">CUST3094</t>
  </si>
  <si>
    <t xml:space="preserve">ORD100315</t>
  </si>
  <si>
    <t xml:space="preserve">CUST7059</t>
  </si>
  <si>
    <t xml:space="preserve">ORD100316</t>
  </si>
  <si>
    <t xml:space="preserve">CUST8229</t>
  </si>
  <si>
    <t xml:space="preserve">ORD100317</t>
  </si>
  <si>
    <t xml:space="preserve">ORD100318</t>
  </si>
  <si>
    <t xml:space="preserve">CUST2457</t>
  </si>
  <si>
    <t xml:space="preserve">Customer_462</t>
  </si>
  <si>
    <t xml:space="preserve">ORD100319</t>
  </si>
  <si>
    <t xml:space="preserve">CUST5057</t>
  </si>
  <si>
    <t xml:space="preserve">Customer_158</t>
  </si>
  <si>
    <t xml:space="preserve">ORD100320</t>
  </si>
  <si>
    <t xml:space="preserve">CUST1516</t>
  </si>
  <si>
    <t xml:space="preserve">Customer_148</t>
  </si>
  <si>
    <t xml:space="preserve">ORD100321</t>
  </si>
  <si>
    <t xml:space="preserve">CUST4527</t>
  </si>
  <si>
    <t xml:space="preserve">Customer_359</t>
  </si>
  <si>
    <t xml:space="preserve">ORD100322</t>
  </si>
  <si>
    <t xml:space="preserve">CUST2650</t>
  </si>
  <si>
    <t xml:space="preserve">Customer_276</t>
  </si>
  <si>
    <t xml:space="preserve">ORD100323</t>
  </si>
  <si>
    <t xml:space="preserve">CUST1932</t>
  </si>
  <si>
    <t xml:space="preserve">Customer_369</t>
  </si>
  <si>
    <t xml:space="preserve">ORD100324</t>
  </si>
  <si>
    <t xml:space="preserve">CUST2094</t>
  </si>
  <si>
    <t xml:space="preserve">ORD100325</t>
  </si>
  <si>
    <t xml:space="preserve">CUST7196</t>
  </si>
  <si>
    <t xml:space="preserve">ORD100326</t>
  </si>
  <si>
    <t xml:space="preserve">CUST2537</t>
  </si>
  <si>
    <t xml:space="preserve">Customer_32</t>
  </si>
  <si>
    <t xml:space="preserve">ORD100327</t>
  </si>
  <si>
    <t xml:space="preserve">CUST9627</t>
  </si>
  <si>
    <t xml:space="preserve">ORD100328</t>
  </si>
  <si>
    <t xml:space="preserve">CUST3044</t>
  </si>
  <si>
    <t xml:space="preserve">Customer_27</t>
  </si>
  <si>
    <t xml:space="preserve">ORD100329</t>
  </si>
  <si>
    <t xml:space="preserve">CUST9693</t>
  </si>
  <si>
    <t xml:space="preserve">Customer_343</t>
  </si>
  <si>
    <t xml:space="preserve">ORD100330</t>
  </si>
  <si>
    <t xml:space="preserve">CUST5621</t>
  </si>
  <si>
    <t xml:space="preserve">Customer_427</t>
  </si>
  <si>
    <t xml:space="preserve">ORD100331</t>
  </si>
  <si>
    <t xml:space="preserve">CUST6067</t>
  </si>
  <si>
    <t xml:space="preserve">Customer_316</t>
  </si>
  <si>
    <t xml:space="preserve">ORD100332</t>
  </si>
  <si>
    <t xml:space="preserve">CUST9465</t>
  </si>
  <si>
    <t xml:space="preserve">ORD100333</t>
  </si>
  <si>
    <t xml:space="preserve">CUST3773</t>
  </si>
  <si>
    <t xml:space="preserve">ORD100334</t>
  </si>
  <si>
    <t xml:space="preserve">CUST5933</t>
  </si>
  <si>
    <t xml:space="preserve">ORD100335</t>
  </si>
  <si>
    <t xml:space="preserve">CUST8904</t>
  </si>
  <si>
    <t xml:space="preserve">Customer_152</t>
  </si>
  <si>
    <t xml:space="preserve">ORD100336</t>
  </si>
  <si>
    <t xml:space="preserve">CUST2599</t>
  </si>
  <si>
    <t xml:space="preserve">ORD100337</t>
  </si>
  <si>
    <t xml:space="preserve">CUST5249</t>
  </si>
  <si>
    <t xml:space="preserve">Customer_236</t>
  </si>
  <si>
    <t xml:space="preserve">ORD100338</t>
  </si>
  <si>
    <t xml:space="preserve">CUST9849</t>
  </si>
  <si>
    <t xml:space="preserve">Customer_264</t>
  </si>
  <si>
    <t xml:space="preserve">ORD100339</t>
  </si>
  <si>
    <t xml:space="preserve">CUST3891</t>
  </si>
  <si>
    <t xml:space="preserve">Customer_453</t>
  </si>
  <si>
    <t xml:space="preserve">ORD100340</t>
  </si>
  <si>
    <t xml:space="preserve">CUST8154</t>
  </si>
  <si>
    <t xml:space="preserve">ORD100341</t>
  </si>
  <si>
    <t xml:space="preserve">CUST1614</t>
  </si>
  <si>
    <t xml:space="preserve">ORD100342</t>
  </si>
  <si>
    <t xml:space="preserve">CUST9557</t>
  </si>
  <si>
    <t xml:space="preserve">ORD100343</t>
  </si>
  <si>
    <t xml:space="preserve">CUST9253</t>
  </si>
  <si>
    <t xml:space="preserve">ORD100344</t>
  </si>
  <si>
    <t xml:space="preserve">CUST2794</t>
  </si>
  <si>
    <t xml:space="preserve">ORD100345</t>
  </si>
  <si>
    <t xml:space="preserve">Customer_257</t>
  </si>
  <si>
    <t xml:space="preserve">ORD100346</t>
  </si>
  <si>
    <t xml:space="preserve">CUST2051</t>
  </si>
  <si>
    <t xml:space="preserve">ORD100347</t>
  </si>
  <si>
    <t xml:space="preserve">CUST1577</t>
  </si>
  <si>
    <t xml:space="preserve">Customer_59</t>
  </si>
  <si>
    <t xml:space="preserve">ORD100348</t>
  </si>
  <si>
    <t xml:space="preserve">CUST7654</t>
  </si>
  <si>
    <t xml:space="preserve">Customer_172</t>
  </si>
  <si>
    <t xml:space="preserve">ORD100349</t>
  </si>
  <si>
    <t xml:space="preserve">CUST9304</t>
  </si>
  <si>
    <t xml:space="preserve">ORD100350</t>
  </si>
  <si>
    <t xml:space="preserve">CUST9709</t>
  </si>
  <si>
    <t xml:space="preserve">ORD100351</t>
  </si>
  <si>
    <t xml:space="preserve">CUST6828</t>
  </si>
  <si>
    <t xml:space="preserve">ORD100352</t>
  </si>
  <si>
    <t xml:space="preserve">CUST1170</t>
  </si>
  <si>
    <t xml:space="preserve">ORD100353</t>
  </si>
  <si>
    <t xml:space="preserve">CUST3075</t>
  </si>
  <si>
    <t xml:space="preserve">ORD100354</t>
  </si>
  <si>
    <t xml:space="preserve">CUST7104</t>
  </si>
  <si>
    <t xml:space="preserve">Customer_498</t>
  </si>
  <si>
    <t xml:space="preserve">ORD100355</t>
  </si>
  <si>
    <t xml:space="preserve">CUST3265</t>
  </si>
  <si>
    <t xml:space="preserve">ORD100356</t>
  </si>
  <si>
    <t xml:space="preserve">CUST4601</t>
  </si>
  <si>
    <t xml:space="preserve">Customer_82</t>
  </si>
  <si>
    <t xml:space="preserve">ORD100357</t>
  </si>
  <si>
    <t xml:space="preserve">CUST5743</t>
  </si>
  <si>
    <t xml:space="preserve">Customer_248</t>
  </si>
  <si>
    <t xml:space="preserve">ORD100358</t>
  </si>
  <si>
    <t xml:space="preserve">CUST8871</t>
  </si>
  <si>
    <t xml:space="preserve">ORD100359</t>
  </si>
  <si>
    <t xml:space="preserve">CUST3763</t>
  </si>
  <si>
    <t xml:space="preserve">CUST6467</t>
  </si>
  <si>
    <t xml:space="preserve">ORD100361</t>
  </si>
  <si>
    <t xml:space="preserve">CUST7309</t>
  </si>
  <si>
    <t xml:space="preserve">ORD100362</t>
  </si>
  <si>
    <t xml:space="preserve">CUST3281</t>
  </si>
  <si>
    <t xml:space="preserve">ORD100363</t>
  </si>
  <si>
    <t xml:space="preserve">CUST9724</t>
  </si>
  <si>
    <t xml:space="preserve">Customer_220</t>
  </si>
  <si>
    <t xml:space="preserve">ORD100364</t>
  </si>
  <si>
    <t xml:space="preserve">CUST5468</t>
  </si>
  <si>
    <t xml:space="preserve">Customer_463</t>
  </si>
  <si>
    <t xml:space="preserve">ORD100365</t>
  </si>
  <si>
    <t xml:space="preserve">CUST7621</t>
  </si>
  <si>
    <t xml:space="preserve">ORD100366</t>
  </si>
  <si>
    <t xml:space="preserve">CUST9551</t>
  </si>
  <si>
    <t xml:space="preserve">ORD100367</t>
  </si>
  <si>
    <t xml:space="preserve">CUST3023</t>
  </si>
  <si>
    <t xml:space="preserve">ORD100368</t>
  </si>
  <si>
    <t xml:space="preserve">CUST5318</t>
  </si>
  <si>
    <t xml:space="preserve">ORD100369</t>
  </si>
  <si>
    <t xml:space="preserve">CUST9900</t>
  </si>
  <si>
    <t xml:space="preserve">Customer_496</t>
  </si>
  <si>
    <t xml:space="preserve">ORD100370</t>
  </si>
  <si>
    <t xml:space="preserve">CUST6142</t>
  </si>
  <si>
    <t xml:space="preserve">ORD100371</t>
  </si>
  <si>
    <t xml:space="preserve">CUST8318</t>
  </si>
  <si>
    <t xml:space="preserve">ORD100372</t>
  </si>
  <si>
    <t xml:space="preserve">CUST9485</t>
  </si>
  <si>
    <t xml:space="preserve">Customer_43</t>
  </si>
  <si>
    <t xml:space="preserve">ORD100373</t>
  </si>
  <si>
    <t xml:space="preserve">CUST9022</t>
  </si>
  <si>
    <t xml:space="preserve">ORD100374</t>
  </si>
  <si>
    <t xml:space="preserve">CUST4041</t>
  </si>
  <si>
    <t xml:space="preserve">Customer_433</t>
  </si>
  <si>
    <t xml:space="preserve">ORD100375</t>
  </si>
  <si>
    <t xml:space="preserve">CUST5835</t>
  </si>
  <si>
    <t xml:space="preserve">Customer_362</t>
  </si>
  <si>
    <t xml:space="preserve">ORD100376</t>
  </si>
  <si>
    <t xml:space="preserve">CUST9776</t>
  </si>
  <si>
    <t xml:space="preserve">ORD100377</t>
  </si>
  <si>
    <t xml:space="preserve">CUST9292</t>
  </si>
  <si>
    <t xml:space="preserve">Customer_89</t>
  </si>
  <si>
    <t xml:space="preserve">ORD100378</t>
  </si>
  <si>
    <t xml:space="preserve">CUST3607</t>
  </si>
  <si>
    <t xml:space="preserve">ORD100379</t>
  </si>
  <si>
    <t xml:space="preserve">CUST1032</t>
  </si>
  <si>
    <t xml:space="preserve">ORD100380</t>
  </si>
  <si>
    <t xml:space="preserve">CUST6531</t>
  </si>
  <si>
    <t xml:space="preserve">Customer_218</t>
  </si>
  <si>
    <t xml:space="preserve">ORD100381</t>
  </si>
  <si>
    <t xml:space="preserve">CUST4482</t>
  </si>
  <si>
    <t xml:space="preserve">Customer_139</t>
  </si>
  <si>
    <t xml:space="preserve">ORD100382</t>
  </si>
  <si>
    <t xml:space="preserve">CUST4655</t>
  </si>
  <si>
    <t xml:space="preserve">ORD100383</t>
  </si>
  <si>
    <t xml:space="preserve">CUST3365</t>
  </si>
  <si>
    <t xml:space="preserve">Customer_80</t>
  </si>
  <si>
    <t xml:space="preserve">ORD100384</t>
  </si>
  <si>
    <t xml:space="preserve">CUST1481</t>
  </si>
  <si>
    <t xml:space="preserve">ORD100385</t>
  </si>
  <si>
    <t xml:space="preserve">CUST2242</t>
  </si>
  <si>
    <t xml:space="preserve">Customer_331</t>
  </si>
  <si>
    <t xml:space="preserve">ORD100386</t>
  </si>
  <si>
    <t xml:space="preserve">CUST8164</t>
  </si>
  <si>
    <t xml:space="preserve">Customer_156</t>
  </si>
  <si>
    <t xml:space="preserve">ORD100387</t>
  </si>
  <si>
    <t xml:space="preserve">CUST9469</t>
  </si>
  <si>
    <t xml:space="preserve">Customer_426</t>
  </si>
  <si>
    <t xml:space="preserve">ORD100388</t>
  </si>
  <si>
    <t xml:space="preserve">CUST3129</t>
  </si>
  <si>
    <t xml:space="preserve">ORD100389</t>
  </si>
  <si>
    <t xml:space="preserve">CUST6180</t>
  </si>
  <si>
    <t xml:space="preserve">ORD100390</t>
  </si>
  <si>
    <t xml:space="preserve">CUST2671</t>
  </si>
  <si>
    <t xml:space="preserve">ORD100391</t>
  </si>
  <si>
    <t xml:space="preserve">ORD100392</t>
  </si>
  <si>
    <t xml:space="preserve">CUST9927</t>
  </si>
  <si>
    <t xml:space="preserve">ORD100393</t>
  </si>
  <si>
    <t xml:space="preserve">CUST3393</t>
  </si>
  <si>
    <t xml:space="preserve">Customer_175</t>
  </si>
  <si>
    <t xml:space="preserve">ORD100394</t>
  </si>
  <si>
    <t xml:space="preserve">CUST5569</t>
  </si>
  <si>
    <t xml:space="preserve">Customer_188</t>
  </si>
  <si>
    <t xml:space="preserve">ORD100395</t>
  </si>
  <si>
    <t xml:space="preserve">CUST5128</t>
  </si>
  <si>
    <t xml:space="preserve">Customer_192</t>
  </si>
  <si>
    <t xml:space="preserve">ORD100396</t>
  </si>
  <si>
    <t xml:space="preserve">Customer_159</t>
  </si>
  <si>
    <t xml:space="preserve">ORD100397</t>
  </si>
  <si>
    <t xml:space="preserve">CUST3345</t>
  </si>
  <si>
    <t xml:space="preserve">ORD100398</t>
  </si>
  <si>
    <t xml:space="preserve">CUST6600</t>
  </si>
  <si>
    <t xml:space="preserve">Customer_242</t>
  </si>
  <si>
    <t xml:space="preserve">ORD100399</t>
  </si>
  <si>
    <t xml:space="preserve">CUST5615</t>
  </si>
  <si>
    <t xml:space="preserve">Customer_56</t>
  </si>
  <si>
    <t xml:space="preserve">ORD100400</t>
  </si>
  <si>
    <t xml:space="preserve">CUST5102</t>
  </si>
  <si>
    <t xml:space="preserve">Customer_416</t>
  </si>
  <si>
    <t xml:space="preserve">ORD100401</t>
  </si>
  <si>
    <t xml:space="preserve">CUST6037</t>
  </si>
  <si>
    <t xml:space="preserve">ORD100402</t>
  </si>
  <si>
    <t xml:space="preserve">CUST2137</t>
  </si>
  <si>
    <t xml:space="preserve">ORD100403</t>
  </si>
  <si>
    <t xml:space="preserve">CUST4625</t>
  </si>
  <si>
    <t xml:space="preserve">Customer_296</t>
  </si>
  <si>
    <t xml:space="preserve">ORD100404</t>
  </si>
  <si>
    <t xml:space="preserve">CUST4414</t>
  </si>
  <si>
    <t xml:space="preserve">Customer_194</t>
  </si>
  <si>
    <t xml:space="preserve">ORD100405</t>
  </si>
  <si>
    <t xml:space="preserve">CUST5778</t>
  </si>
  <si>
    <t xml:space="preserve">Customer_346</t>
  </si>
  <si>
    <t xml:space="preserve">ORD100406</t>
  </si>
  <si>
    <t xml:space="preserve">CUST1528</t>
  </si>
  <si>
    <t xml:space="preserve">Customer_170</t>
  </si>
  <si>
    <t xml:space="preserve">ORD100407</t>
  </si>
  <si>
    <t xml:space="preserve">CUST5430</t>
  </si>
  <si>
    <t xml:space="preserve">ORD100408</t>
  </si>
  <si>
    <t xml:space="preserve">CUST8759</t>
  </si>
  <si>
    <t xml:space="preserve">ORD100409</t>
  </si>
  <si>
    <t xml:space="preserve">CUST9421</t>
  </si>
  <si>
    <t xml:space="preserve">ORD100410</t>
  </si>
  <si>
    <t xml:space="preserve">CUST3440</t>
  </si>
  <si>
    <t xml:space="preserve">Customer_28</t>
  </si>
  <si>
    <t xml:space="preserve">ORD100411</t>
  </si>
  <si>
    <t xml:space="preserve">CUST6631</t>
  </si>
  <si>
    <t xml:space="preserve">ORD100412</t>
  </si>
  <si>
    <t xml:space="preserve">CUST9089</t>
  </si>
  <si>
    <t xml:space="preserve">Customer_177</t>
  </si>
  <si>
    <t xml:space="preserve">ORD100413</t>
  </si>
  <si>
    <t xml:space="preserve">CUST4703</t>
  </si>
  <si>
    <t xml:space="preserve">ORD100414</t>
  </si>
  <si>
    <t xml:space="preserve">CUST4598</t>
  </si>
  <si>
    <t xml:space="preserve">ORD100415</t>
  </si>
  <si>
    <t xml:space="preserve">CUST3277</t>
  </si>
  <si>
    <t xml:space="preserve">ORD100416</t>
  </si>
  <si>
    <t xml:space="preserve">CUST5932</t>
  </si>
  <si>
    <t xml:space="preserve">ORD100417</t>
  </si>
  <si>
    <t xml:space="preserve">CUST7628</t>
  </si>
  <si>
    <t xml:space="preserve">ORD100418</t>
  </si>
  <si>
    <t xml:space="preserve">CUST9942</t>
  </si>
  <si>
    <t xml:space="preserve">ORD100419</t>
  </si>
  <si>
    <t xml:space="preserve">CUST6436</t>
  </si>
  <si>
    <t xml:space="preserve">ORD100420</t>
  </si>
  <si>
    <t xml:space="preserve">CUST2231</t>
  </si>
  <si>
    <t xml:space="preserve">Customer_38</t>
  </si>
  <si>
    <t xml:space="preserve">ORD100421</t>
  </si>
  <si>
    <t xml:space="preserve">CUST2956</t>
  </si>
  <si>
    <t xml:space="preserve">ORD100422</t>
  </si>
  <si>
    <t xml:space="preserve">CUST1764</t>
  </si>
  <si>
    <t xml:space="preserve">ORD100423</t>
  </si>
  <si>
    <t xml:space="preserve">CUST9649</t>
  </si>
  <si>
    <t xml:space="preserve">Customer_322</t>
  </si>
  <si>
    <t xml:space="preserve">ORD100424</t>
  </si>
  <si>
    <t xml:space="preserve">CUST6655</t>
  </si>
  <si>
    <t xml:space="preserve">ORD100425</t>
  </si>
  <si>
    <t xml:space="preserve">CUST4284</t>
  </si>
  <si>
    <t xml:space="preserve">Customer_270</t>
  </si>
  <si>
    <t xml:space="preserve">ORD100426</t>
  </si>
  <si>
    <t xml:space="preserve">CUST4269</t>
  </si>
  <si>
    <t xml:space="preserve">Customer_268</t>
  </si>
  <si>
    <t xml:space="preserve">ORD100427</t>
  </si>
  <si>
    <t xml:space="preserve">CUST1253</t>
  </si>
  <si>
    <t xml:space="preserve">Customer_334</t>
  </si>
  <si>
    <t xml:space="preserve">ORD100428</t>
  </si>
  <si>
    <t xml:space="preserve">CUST9754</t>
  </si>
  <si>
    <t xml:space="preserve">ORD100429</t>
  </si>
  <si>
    <t xml:space="preserve">CUST2697</t>
  </si>
  <si>
    <t xml:space="preserve">Customer_155</t>
  </si>
  <si>
    <t xml:space="preserve">ORD100430</t>
  </si>
  <si>
    <t xml:space="preserve">CUST9209</t>
  </si>
  <si>
    <t xml:space="preserve">ORD100431</t>
  </si>
  <si>
    <t xml:space="preserve">CUST4215</t>
  </si>
  <si>
    <t xml:space="preserve">ORD100432</t>
  </si>
  <si>
    <t xml:space="preserve">CUST2935</t>
  </si>
  <si>
    <t xml:space="preserve">Customer_26</t>
  </si>
  <si>
    <t xml:space="preserve">ORD100433</t>
  </si>
  <si>
    <t xml:space="preserve">CUST9381</t>
  </si>
  <si>
    <t xml:space="preserve">ORD100434</t>
  </si>
  <si>
    <t xml:space="preserve">CUST4982</t>
  </si>
  <si>
    <t xml:space="preserve">ORD100435</t>
  </si>
  <si>
    <t xml:space="preserve">CUST4849</t>
  </si>
  <si>
    <t xml:space="preserve">ORD100436</t>
  </si>
  <si>
    <t xml:space="preserve">CUST3418</t>
  </si>
  <si>
    <t xml:space="preserve">ORD100437</t>
  </si>
  <si>
    <t xml:space="preserve">CUST3459</t>
  </si>
  <si>
    <t xml:space="preserve">ORD100438</t>
  </si>
  <si>
    <t xml:space="preserve">CUST7937</t>
  </si>
  <si>
    <t xml:space="preserve">ORD100439</t>
  </si>
  <si>
    <t xml:space="preserve">CUST8269</t>
  </si>
  <si>
    <t xml:space="preserve">ORD100440</t>
  </si>
  <si>
    <t xml:space="preserve">ORD100441</t>
  </si>
  <si>
    <t xml:space="preserve">CUST9619</t>
  </si>
  <si>
    <t xml:space="preserve">ORD100442</t>
  </si>
  <si>
    <t xml:space="preserve">CUST6887</t>
  </si>
  <si>
    <t xml:space="preserve">ORD100443</t>
  </si>
  <si>
    <t xml:space="preserve">CUST8515</t>
  </si>
  <si>
    <t xml:space="preserve">ORD100444</t>
  </si>
  <si>
    <t xml:space="preserve">ORD100445</t>
  </si>
  <si>
    <t xml:space="preserve">CUST1256</t>
  </si>
  <si>
    <t xml:space="preserve">ORD100446</t>
  </si>
  <si>
    <t xml:space="preserve">CUST1841</t>
  </si>
  <si>
    <t xml:space="preserve">Customer_129</t>
  </si>
  <si>
    <t xml:space="preserve">ORD100447</t>
  </si>
  <si>
    <t xml:space="preserve">CUST2777</t>
  </si>
  <si>
    <t xml:space="preserve">Customer_417</t>
  </si>
  <si>
    <t xml:space="preserve">ORD100448</t>
  </si>
  <si>
    <t xml:space="preserve">CUST2031</t>
  </si>
  <si>
    <t xml:space="preserve">Customer_309</t>
  </si>
  <si>
    <t xml:space="preserve">ORD100449</t>
  </si>
  <si>
    <t xml:space="preserve">CUST9219</t>
  </si>
  <si>
    <t xml:space="preserve">Customer_132</t>
  </si>
  <si>
    <t xml:space="preserve">ORD100450</t>
  </si>
  <si>
    <t xml:space="preserve">CUST6714</t>
  </si>
  <si>
    <t xml:space="preserve">ORD100451</t>
  </si>
  <si>
    <t xml:space="preserve">ORD100452</t>
  </si>
  <si>
    <t xml:space="preserve">CUST5766</t>
  </si>
  <si>
    <t xml:space="preserve">Customer_85</t>
  </si>
  <si>
    <t xml:space="preserve">ORD100453</t>
  </si>
  <si>
    <t xml:space="preserve">CUST1189</t>
  </si>
  <si>
    <t xml:space="preserve">ORD100454</t>
  </si>
  <si>
    <t xml:space="preserve">ORD100455</t>
  </si>
  <si>
    <t xml:space="preserve">CUST9125</t>
  </si>
  <si>
    <t xml:space="preserve">ORD100456</t>
  </si>
  <si>
    <t xml:space="preserve">CUST6806</t>
  </si>
  <si>
    <t xml:space="preserve">ORD100457</t>
  </si>
  <si>
    <t xml:space="preserve">CUST9543</t>
  </si>
  <si>
    <t xml:space="preserve">Customer_448</t>
  </si>
  <si>
    <t xml:space="preserve">ORD100458</t>
  </si>
  <si>
    <t xml:space="preserve">CUST6136</t>
  </si>
  <si>
    <t xml:space="preserve">Customer_328</t>
  </si>
  <si>
    <t xml:space="preserve">ORD100459</t>
  </si>
  <si>
    <t xml:space="preserve">CUST9131</t>
  </si>
  <si>
    <t xml:space="preserve">ORD100460</t>
  </si>
  <si>
    <t xml:space="preserve">CUST4317</t>
  </si>
  <si>
    <t xml:space="preserve">ORD100461</t>
  </si>
  <si>
    <t xml:space="preserve">CUST5702</t>
  </si>
  <si>
    <t xml:space="preserve">Customer_381</t>
  </si>
  <si>
    <t xml:space="preserve">ORD100462</t>
  </si>
  <si>
    <t xml:space="preserve">CUST9379</t>
  </si>
  <si>
    <t xml:space="preserve">ORD100463</t>
  </si>
  <si>
    <t xml:space="preserve">CUST7664</t>
  </si>
  <si>
    <t xml:space="preserve">ORD100464</t>
  </si>
  <si>
    <t xml:space="preserve">CUST1710</t>
  </si>
  <si>
    <t xml:space="preserve">ORD100465</t>
  </si>
  <si>
    <t xml:space="preserve">CUST2680</t>
  </si>
  <si>
    <t xml:space="preserve">Customer_90</t>
  </si>
  <si>
    <t xml:space="preserve">ORD100466</t>
  </si>
  <si>
    <t xml:space="preserve">CUST6783</t>
  </si>
  <si>
    <t xml:space="preserve">ORD100467</t>
  </si>
  <si>
    <t xml:space="preserve">CUST8039</t>
  </si>
  <si>
    <t xml:space="preserve">Customer_391</t>
  </si>
  <si>
    <t xml:space="preserve">ORD100468</t>
  </si>
  <si>
    <t xml:space="preserve">CUST7564</t>
  </si>
  <si>
    <t xml:space="preserve">ORD100469</t>
  </si>
  <si>
    <t xml:space="preserve">CUST8899</t>
  </si>
  <si>
    <t xml:space="preserve">Customer_482</t>
  </si>
  <si>
    <t xml:space="preserve">ORD100470</t>
  </si>
  <si>
    <t xml:space="preserve">CUST1453</t>
  </si>
  <si>
    <t xml:space="preserve">Customer_60</t>
  </si>
  <si>
    <t xml:space="preserve">ORD100471</t>
  </si>
  <si>
    <t xml:space="preserve">CUST5363</t>
  </si>
  <si>
    <t xml:space="preserve">ORD100472</t>
  </si>
  <si>
    <t xml:space="preserve">CUST8325</t>
  </si>
  <si>
    <t xml:space="preserve">Customer_16</t>
  </si>
  <si>
    <t xml:space="preserve">ORD100473</t>
  </si>
  <si>
    <t xml:space="preserve">ORD100474</t>
  </si>
  <si>
    <t xml:space="preserve">CUST3741</t>
  </si>
  <si>
    <t xml:space="preserve">Customer_461</t>
  </si>
  <si>
    <t xml:space="preserve">ORD100475</t>
  </si>
  <si>
    <t xml:space="preserve">CUST4758</t>
  </si>
  <si>
    <t xml:space="preserve">Customer_372</t>
  </si>
  <si>
    <t xml:space="preserve">ORD100476</t>
  </si>
  <si>
    <t xml:space="preserve">CUST1940</t>
  </si>
  <si>
    <t xml:space="preserve">ORD100477</t>
  </si>
  <si>
    <t xml:space="preserve">CUST3024</t>
  </si>
  <si>
    <t xml:space="preserve">Customer_332</t>
  </si>
  <si>
    <t xml:space="preserve">ORD100478</t>
  </si>
  <si>
    <t xml:space="preserve">CUST7981</t>
  </si>
  <si>
    <t xml:space="preserve">Customer_196</t>
  </si>
  <si>
    <t xml:space="preserve">ORD100479</t>
  </si>
  <si>
    <t xml:space="preserve">CUST9259</t>
  </si>
  <si>
    <t xml:space="preserve">CUST8225</t>
  </si>
  <si>
    <t xml:space="preserve">ORD100481</t>
  </si>
  <si>
    <t xml:space="preserve">CUST4966</t>
  </si>
  <si>
    <t xml:space="preserve">ORD100482</t>
  </si>
  <si>
    <t xml:space="preserve">CUST2632</t>
  </si>
  <si>
    <t xml:space="preserve">Customer_321</t>
  </si>
  <si>
    <t xml:space="preserve">ORD100483</t>
  </si>
  <si>
    <t xml:space="preserve">CUST3723</t>
  </si>
  <si>
    <t xml:space="preserve">Customer_208</t>
  </si>
  <si>
    <t xml:space="preserve">ORD100484</t>
  </si>
  <si>
    <t xml:space="preserve">CUST8322</t>
  </si>
  <si>
    <t xml:space="preserve">Customer_429</t>
  </si>
  <si>
    <t xml:space="preserve">ORD100485</t>
  </si>
  <si>
    <t xml:space="preserve">CUST9464</t>
  </si>
  <si>
    <t xml:space="preserve">ORD100486</t>
  </si>
  <si>
    <t xml:space="preserve">CUST4264</t>
  </si>
  <si>
    <t xml:space="preserve">ORD100487</t>
  </si>
  <si>
    <t xml:space="preserve">CUST8691</t>
  </si>
  <si>
    <t xml:space="preserve">Customer_252</t>
  </si>
  <si>
    <t xml:space="preserve">ORD100488</t>
  </si>
  <si>
    <t xml:space="preserve">CUST7117</t>
  </si>
  <si>
    <t xml:space="preserve">ORD100489</t>
  </si>
  <si>
    <t xml:space="preserve">CUST4167</t>
  </si>
  <si>
    <t xml:space="preserve">Customer_113</t>
  </si>
  <si>
    <t xml:space="preserve">ORD100490</t>
  </si>
  <si>
    <t xml:space="preserve">CUST6969</t>
  </si>
  <si>
    <t xml:space="preserve">ORD100491</t>
  </si>
  <si>
    <t xml:space="preserve">CUST9486</t>
  </si>
  <si>
    <t xml:space="preserve">ORD100492</t>
  </si>
  <si>
    <t xml:space="preserve">CUST2708</t>
  </si>
  <si>
    <t xml:space="preserve">ORD100493</t>
  </si>
  <si>
    <t xml:space="preserve">CUST1833</t>
  </si>
  <si>
    <t xml:space="preserve">ORD100494</t>
  </si>
  <si>
    <t xml:space="preserve">CUST8425</t>
  </si>
  <si>
    <t xml:space="preserve">ORD100495</t>
  </si>
  <si>
    <t xml:space="preserve">CUST3911</t>
  </si>
  <si>
    <t xml:space="preserve">ORD100496</t>
  </si>
  <si>
    <t xml:space="preserve">CUST2812</t>
  </si>
  <si>
    <t xml:space="preserve">ORD100497</t>
  </si>
  <si>
    <t xml:space="preserve">CUST8000</t>
  </si>
  <si>
    <t xml:space="preserve">Customer_275</t>
  </si>
  <si>
    <t xml:space="preserve">ORD100498</t>
  </si>
  <si>
    <t xml:space="preserve">CUST6862</t>
  </si>
  <si>
    <t xml:space="preserve">ORD100499</t>
  </si>
  <si>
    <t xml:space="preserve">CUST1616</t>
  </si>
  <si>
    <t xml:space="preserve">ORD100500</t>
  </si>
  <si>
    <t xml:space="preserve">CUST2835</t>
  </si>
  <si>
    <t xml:space="preserve">ORD100501</t>
  </si>
  <si>
    <t xml:space="preserve">CUST7494</t>
  </si>
  <si>
    <t xml:space="preserve">ORD100502</t>
  </si>
  <si>
    <t xml:space="preserve">CUST8789</t>
  </si>
  <si>
    <t xml:space="preserve">ORD100503</t>
  </si>
  <si>
    <t xml:space="preserve">CUST4457</t>
  </si>
  <si>
    <t xml:space="preserve">ORD100504</t>
  </si>
  <si>
    <t xml:space="preserve">CUST6258</t>
  </si>
  <si>
    <t xml:space="preserve">ORD100505</t>
  </si>
  <si>
    <t xml:space="preserve">CUST9324</t>
  </si>
  <si>
    <t xml:space="preserve">ORD100506</t>
  </si>
  <si>
    <t xml:space="preserve">CUST2027</t>
  </si>
  <si>
    <t xml:space="preserve">Customer_458</t>
  </si>
  <si>
    <t xml:space="preserve">ORD100507</t>
  </si>
  <si>
    <t xml:space="preserve">CUST9966</t>
  </si>
  <si>
    <t xml:space="preserve">Customer_199</t>
  </si>
  <si>
    <t xml:space="preserve">ORD100508</t>
  </si>
  <si>
    <t xml:space="preserve">CUST3747</t>
  </si>
  <si>
    <t xml:space="preserve">ORD100509</t>
  </si>
  <si>
    <t xml:space="preserve">CUST9303</t>
  </si>
  <si>
    <t xml:space="preserve">ORD100510</t>
  </si>
  <si>
    <t xml:space="preserve">CUST9282</t>
  </si>
  <si>
    <t xml:space="preserve">ORD100511</t>
  </si>
  <si>
    <t xml:space="preserve">CUST1565</t>
  </si>
  <si>
    <t xml:space="preserve">ORD100512</t>
  </si>
  <si>
    <t xml:space="preserve">CUST6704</t>
  </si>
  <si>
    <t xml:space="preserve">ORD100513</t>
  </si>
  <si>
    <t xml:space="preserve">CUST8023</t>
  </si>
  <si>
    <t xml:space="preserve">Customer_118</t>
  </si>
  <si>
    <t xml:space="preserve">ORD100514</t>
  </si>
  <si>
    <t xml:space="preserve">CUST6860</t>
  </si>
  <si>
    <t xml:space="preserve">Customer_168</t>
  </si>
  <si>
    <t xml:space="preserve">ORD100515</t>
  </si>
  <si>
    <t xml:space="preserve">CUST2661</t>
  </si>
  <si>
    <t xml:space="preserve">ORD100516</t>
  </si>
  <si>
    <t xml:space="preserve">CUST1316</t>
  </si>
  <si>
    <t xml:space="preserve">Customer_3</t>
  </si>
  <si>
    <t xml:space="preserve">ORD100517</t>
  </si>
  <si>
    <t xml:space="preserve">CUST7283</t>
  </si>
  <si>
    <t xml:space="preserve">Customer_262</t>
  </si>
  <si>
    <t xml:space="preserve">ORD100518</t>
  </si>
  <si>
    <t xml:space="preserve">CUST3089</t>
  </si>
  <si>
    <t xml:space="preserve">ORD100519</t>
  </si>
  <si>
    <t xml:space="preserve">CUST8947</t>
  </si>
  <si>
    <t xml:space="preserve">ORD100520</t>
  </si>
  <si>
    <t xml:space="preserve">CUST9042</t>
  </si>
  <si>
    <t xml:space="preserve">Customer_354</t>
  </si>
  <si>
    <t xml:space="preserve">ORD100521</t>
  </si>
  <si>
    <t xml:space="preserve">CUST8907</t>
  </si>
  <si>
    <t xml:space="preserve">ORD100522</t>
  </si>
  <si>
    <t xml:space="preserve">CUST6260</t>
  </si>
  <si>
    <t xml:space="preserve">Customer_455</t>
  </si>
  <si>
    <t xml:space="preserve">ORD100523</t>
  </si>
  <si>
    <t xml:space="preserve">CUST9055</t>
  </si>
  <si>
    <t xml:space="preserve">ORD100524</t>
  </si>
  <si>
    <t xml:space="preserve">CUST3778</t>
  </si>
  <si>
    <t xml:space="preserve">ORD100525</t>
  </si>
  <si>
    <t xml:space="preserve">CUST1090</t>
  </si>
  <si>
    <t xml:space="preserve">ORD100526</t>
  </si>
  <si>
    <t xml:space="preserve">CUST6706</t>
  </si>
  <si>
    <t xml:space="preserve">ORD100527</t>
  </si>
  <si>
    <t xml:space="preserve">CUST8200</t>
  </si>
  <si>
    <t xml:space="preserve">Customer_147</t>
  </si>
  <si>
    <t xml:space="preserve">ORD100528</t>
  </si>
  <si>
    <t xml:space="preserve">CUST5010</t>
  </si>
  <si>
    <t xml:space="preserve">Customer_46</t>
  </si>
  <si>
    <t xml:space="preserve">ORD100529</t>
  </si>
  <si>
    <t xml:space="preserve">CUST5233</t>
  </si>
  <si>
    <t xml:space="preserve">ORD100530</t>
  </si>
  <si>
    <t xml:space="preserve">CUST4089</t>
  </si>
  <si>
    <t xml:space="preserve">Customer_79</t>
  </si>
  <si>
    <t xml:space="preserve">ORD100531</t>
  </si>
  <si>
    <t xml:space="preserve">CUST7568</t>
  </si>
  <si>
    <t xml:space="preserve">ORD100532</t>
  </si>
  <si>
    <t xml:space="preserve">CUST3835</t>
  </si>
  <si>
    <t xml:space="preserve">ORD100533</t>
  </si>
  <si>
    <t xml:space="preserve">CUST1124</t>
  </si>
  <si>
    <t xml:space="preserve">ORD100534</t>
  </si>
  <si>
    <t xml:space="preserve">CUST8700</t>
  </si>
  <si>
    <t xml:space="preserve">ORD100535</t>
  </si>
  <si>
    <t xml:space="preserve">CUST2742</t>
  </si>
  <si>
    <t xml:space="preserve">ORD100536</t>
  </si>
  <si>
    <t xml:space="preserve">CUST6394</t>
  </si>
  <si>
    <t xml:space="preserve">ORD100537</t>
  </si>
  <si>
    <t xml:space="preserve">ORD100538</t>
  </si>
  <si>
    <t xml:space="preserve">CUST5133</t>
  </si>
  <si>
    <t xml:space="preserve">Customer_86</t>
  </si>
  <si>
    <t xml:space="preserve">ORD100539</t>
  </si>
  <si>
    <t xml:space="preserve">CUST5535</t>
  </si>
  <si>
    <t xml:space="preserve">Customer_146</t>
  </si>
  <si>
    <t xml:space="preserve">ORD100540</t>
  </si>
  <si>
    <t xml:space="preserve">CUST1419</t>
  </si>
  <si>
    <t xml:space="preserve">Customer_226</t>
  </si>
  <si>
    <t xml:space="preserve">ORD100541</t>
  </si>
  <si>
    <t xml:space="preserve">CUST3972</t>
  </si>
  <si>
    <t xml:space="preserve">ORD100542</t>
  </si>
  <si>
    <t xml:space="preserve">Customer_74</t>
  </si>
  <si>
    <t xml:space="preserve">ORD100543</t>
  </si>
  <si>
    <t xml:space="preserve">CUST2394</t>
  </si>
  <si>
    <t xml:space="preserve">Customer_293</t>
  </si>
  <si>
    <t xml:space="preserve">ORD100544</t>
  </si>
  <si>
    <t xml:space="preserve">CUST7033</t>
  </si>
  <si>
    <t xml:space="preserve">ORD100545</t>
  </si>
  <si>
    <t xml:space="preserve">CUST7824</t>
  </si>
  <si>
    <t xml:space="preserve">Customer_21</t>
  </si>
  <si>
    <t xml:space="preserve">ORD100546</t>
  </si>
  <si>
    <t xml:space="preserve">CUST2039</t>
  </si>
  <si>
    <t xml:space="preserve">ORD100547</t>
  </si>
  <si>
    <t xml:space="preserve">CUST4569</t>
  </si>
  <si>
    <t xml:space="preserve">Customer_238</t>
  </si>
  <si>
    <t xml:space="preserve">ORD100548</t>
  </si>
  <si>
    <t xml:space="preserve">ORD100549</t>
  </si>
  <si>
    <t xml:space="preserve">CUST1780</t>
  </si>
  <si>
    <t xml:space="preserve">Customer_250</t>
  </si>
  <si>
    <t xml:space="preserve">ORD100550</t>
  </si>
  <si>
    <t xml:space="preserve">CUST5244</t>
  </si>
  <si>
    <t xml:space="preserve">Customer_44</t>
  </si>
  <si>
    <t xml:space="preserve">ORD100551</t>
  </si>
  <si>
    <t xml:space="preserve">CUST7188</t>
  </si>
  <si>
    <t xml:space="preserve">Customer_180</t>
  </si>
  <si>
    <t xml:space="preserve">ORD100552</t>
  </si>
  <si>
    <t xml:space="preserve">CUST7042</t>
  </si>
  <si>
    <t xml:space="preserve">Customer_137</t>
  </si>
  <si>
    <t xml:space="preserve">ORD100553</t>
  </si>
  <si>
    <t xml:space="preserve">CUST4646</t>
  </si>
  <si>
    <t xml:space="preserve">ORD100554</t>
  </si>
  <si>
    <t xml:space="preserve">CUST3623</t>
  </si>
  <si>
    <t xml:space="preserve">ORD100555</t>
  </si>
  <si>
    <t xml:space="preserve">CUST1399</t>
  </si>
  <si>
    <t xml:space="preserve">Customer_431</t>
  </si>
  <si>
    <t xml:space="preserve">ORD100556</t>
  </si>
  <si>
    <t xml:space="preserve">Customer_219</t>
  </si>
  <si>
    <t xml:space="preserve">ORD100557</t>
  </si>
  <si>
    <t xml:space="preserve">CUST7285</t>
  </si>
  <si>
    <t xml:space="preserve">Customer_493</t>
  </si>
  <si>
    <t xml:space="preserve">ORD100558</t>
  </si>
  <si>
    <t xml:space="preserve">CUST1401</t>
  </si>
  <si>
    <t xml:space="preserve">ORD100559</t>
  </si>
  <si>
    <t xml:space="preserve">CUST9458</t>
  </si>
  <si>
    <t xml:space="preserve">Customer_25</t>
  </si>
  <si>
    <t xml:space="preserve">ORD100560</t>
  </si>
  <si>
    <t xml:space="preserve">CUST9612</t>
  </si>
  <si>
    <t xml:space="preserve">ORD100561</t>
  </si>
  <si>
    <t xml:space="preserve">CUST2520</t>
  </si>
  <si>
    <t xml:space="preserve">Customer_93</t>
  </si>
  <si>
    <t xml:space="preserve">ORD100562</t>
  </si>
  <si>
    <t xml:space="preserve">Customer_327</t>
  </si>
  <si>
    <t xml:space="preserve">ORD100563</t>
  </si>
  <si>
    <t xml:space="preserve">CUST7491</t>
  </si>
  <si>
    <t xml:space="preserve">ORD100564</t>
  </si>
  <si>
    <t xml:space="preserve">CUST3473</t>
  </si>
  <si>
    <t xml:space="preserve">ORD100565</t>
  </si>
  <si>
    <t xml:space="preserve">CUST6748</t>
  </si>
  <si>
    <t xml:space="preserve">ORD100566</t>
  </si>
  <si>
    <t xml:space="preserve">CUST4722</t>
  </si>
  <si>
    <t xml:space="preserve">ORD100567</t>
  </si>
  <si>
    <t xml:space="preserve">CUST5431</t>
  </si>
  <si>
    <t xml:space="preserve">ORD100568</t>
  </si>
  <si>
    <t xml:space="preserve">CUST3316</t>
  </si>
  <si>
    <t xml:space="preserve">ORD100569</t>
  </si>
  <si>
    <t xml:space="preserve">CUST9510</t>
  </si>
  <si>
    <t xml:space="preserve">ORD100570</t>
  </si>
  <si>
    <t xml:space="preserve">CUST9273</t>
  </si>
  <si>
    <t xml:space="preserve">ORD100571</t>
  </si>
  <si>
    <t xml:space="preserve">CUST5206</t>
  </si>
  <si>
    <t xml:space="preserve">ORD100572</t>
  </si>
  <si>
    <t xml:space="preserve">CUST3820</t>
  </si>
  <si>
    <t xml:space="preserve">ORD100573</t>
  </si>
  <si>
    <t xml:space="preserve">CUST5791</t>
  </si>
  <si>
    <t xml:space="preserve">ORD100574</t>
  </si>
  <si>
    <t xml:space="preserve">CUST2343</t>
  </si>
  <si>
    <t xml:space="preserve">Customer_39</t>
  </si>
  <si>
    <t xml:space="preserve">ORD100575</t>
  </si>
  <si>
    <t xml:space="preserve">CUST6654</t>
  </si>
  <si>
    <t xml:space="preserve">ORD100576</t>
  </si>
  <si>
    <t xml:space="preserve">CUST8820</t>
  </si>
  <si>
    <t xml:space="preserve">ORD100577</t>
  </si>
  <si>
    <t xml:space="preserve">CUST9181</t>
  </si>
  <si>
    <t xml:space="preserve">ORD100578</t>
  </si>
  <si>
    <t xml:space="preserve">CUST8098</t>
  </si>
  <si>
    <t xml:space="preserve">Customer_337</t>
  </si>
  <si>
    <t xml:space="preserve">ORD100579</t>
  </si>
  <si>
    <t xml:space="preserve">CUST6006</t>
  </si>
  <si>
    <t xml:space="preserve">ORD100580</t>
  </si>
  <si>
    <t xml:space="preserve">CUST1094</t>
  </si>
  <si>
    <t xml:space="preserve">Customer_91</t>
  </si>
  <si>
    <t xml:space="preserve">ORD100581</t>
  </si>
  <si>
    <t xml:space="preserve">CUST1468</t>
  </si>
  <si>
    <t xml:space="preserve">ORD100582</t>
  </si>
  <si>
    <t xml:space="preserve">ORD100583</t>
  </si>
  <si>
    <t xml:space="preserve">CUST1936</t>
  </si>
  <si>
    <t xml:space="preserve">ORD100584</t>
  </si>
  <si>
    <t xml:space="preserve">CUST8399</t>
  </si>
  <si>
    <t xml:space="preserve">ORD100585</t>
  </si>
  <si>
    <t xml:space="preserve">CUST8075</t>
  </si>
  <si>
    <t xml:space="preserve">ORD100586</t>
  </si>
  <si>
    <t xml:space="preserve">CUST8826</t>
  </si>
  <si>
    <t xml:space="preserve">Customer_206</t>
  </si>
  <si>
    <t xml:space="preserve">ORD100587</t>
  </si>
  <si>
    <t xml:space="preserve">CUST9700</t>
  </si>
  <si>
    <t xml:space="preserve">Customer_441</t>
  </si>
  <si>
    <t xml:space="preserve">ORD100588</t>
  </si>
  <si>
    <t xml:space="preserve">CUST8600</t>
  </si>
  <si>
    <t xml:space="preserve">ORD100589</t>
  </si>
  <si>
    <t xml:space="preserve">CUST8513</t>
  </si>
  <si>
    <t xml:space="preserve">ORD100590</t>
  </si>
  <si>
    <t xml:space="preserve">CUST8595</t>
  </si>
  <si>
    <t xml:space="preserve">Customer_63</t>
  </si>
  <si>
    <t xml:space="preserve">ORD100591</t>
  </si>
  <si>
    <t xml:space="preserve">CUST9489</t>
  </si>
  <si>
    <t xml:space="preserve">ORD100592</t>
  </si>
  <si>
    <t xml:space="preserve">CUST7226</t>
  </si>
  <si>
    <t xml:space="preserve">Customer_421</t>
  </si>
  <si>
    <t xml:space="preserve">ORD100593</t>
  </si>
  <si>
    <t xml:space="preserve">CUST1840</t>
  </si>
  <si>
    <t xml:space="preserve">ORD100594</t>
  </si>
  <si>
    <t xml:space="preserve">CUST9449</t>
  </si>
  <si>
    <t xml:space="preserve">Customer_178</t>
  </si>
  <si>
    <t xml:space="preserve">ORD100595</t>
  </si>
  <si>
    <t xml:space="preserve">CUST3537</t>
  </si>
  <si>
    <t xml:space="preserve">Customer_377</t>
  </si>
  <si>
    <t xml:space="preserve">ORD100596</t>
  </si>
  <si>
    <t xml:space="preserve">ORD100597</t>
  </si>
  <si>
    <t xml:space="preserve">CUST4417</t>
  </si>
  <si>
    <t xml:space="preserve">ORD100598</t>
  </si>
  <si>
    <t xml:space="preserve">CUST4099</t>
  </si>
  <si>
    <t xml:space="preserve">ORD100599</t>
  </si>
  <si>
    <t xml:space="preserve">CUST3107</t>
  </si>
  <si>
    <t xml:space="preserve">CUST8859</t>
  </si>
  <si>
    <t xml:space="preserve">ORD100601</t>
  </si>
  <si>
    <t xml:space="preserve">CUST9111</t>
  </si>
  <si>
    <t xml:space="preserve">Customer_235</t>
  </si>
  <si>
    <t xml:space="preserve">ORD100602</t>
  </si>
  <si>
    <t xml:space="preserve">CUST8813</t>
  </si>
  <si>
    <t xml:space="preserve">ORD100603</t>
  </si>
  <si>
    <t xml:space="preserve">CUST7221</t>
  </si>
  <si>
    <t xml:space="preserve">ORD100604</t>
  </si>
  <si>
    <t xml:space="preserve">CUST5899</t>
  </si>
  <si>
    <t xml:space="preserve">Customer_500</t>
  </si>
  <si>
    <t xml:space="preserve">ORD100605</t>
  </si>
  <si>
    <t xml:space="preserve">CUST4483</t>
  </si>
  <si>
    <t xml:space="preserve">Customer_109</t>
  </si>
  <si>
    <t xml:space="preserve">ORD100606</t>
  </si>
  <si>
    <t xml:space="preserve">CUST4438</t>
  </si>
  <si>
    <t xml:space="preserve">ORD100607</t>
  </si>
  <si>
    <t xml:space="preserve">CUST9123</t>
  </si>
  <si>
    <t xml:space="preserve">ORD100608</t>
  </si>
  <si>
    <t xml:space="preserve">CUST2364</t>
  </si>
  <si>
    <t xml:space="preserve">Customer_290</t>
  </si>
  <si>
    <t xml:space="preserve">ORD100609</t>
  </si>
  <si>
    <t xml:space="preserve">CUST6314</t>
  </si>
  <si>
    <t xml:space="preserve">ORD100610</t>
  </si>
  <si>
    <t xml:space="preserve">CUST8128</t>
  </si>
  <si>
    <t xml:space="preserve">ORD100611</t>
  </si>
  <si>
    <t xml:space="preserve">CUST8583</t>
  </si>
  <si>
    <t xml:space="preserve">ORD100612</t>
  </si>
  <si>
    <t xml:space="preserve">CUST4488</t>
  </si>
  <si>
    <t xml:space="preserve">Customer_414</t>
  </si>
  <si>
    <t xml:space="preserve">ORD100613</t>
  </si>
  <si>
    <t xml:space="preserve">CUST5178</t>
  </si>
  <si>
    <t xml:space="preserve">ORD100614</t>
  </si>
  <si>
    <t xml:space="preserve">CUST9217</t>
  </si>
  <si>
    <t xml:space="preserve">ORD100615</t>
  </si>
  <si>
    <t xml:space="preserve">CUST4150</t>
  </si>
  <si>
    <t xml:space="preserve">ORD100616</t>
  </si>
  <si>
    <t xml:space="preserve">CUST3751</t>
  </si>
  <si>
    <t xml:space="preserve">ORD100617</t>
  </si>
  <si>
    <t xml:space="preserve">CUST1991</t>
  </si>
  <si>
    <t xml:space="preserve">ORD100618</t>
  </si>
  <si>
    <t xml:space="preserve">CUST8124</t>
  </si>
  <si>
    <t xml:space="preserve">ORD100619</t>
  </si>
  <si>
    <t xml:space="preserve">CUST6678</t>
  </si>
  <si>
    <t xml:space="preserve">ORD100620</t>
  </si>
  <si>
    <t xml:space="preserve">CUST8268</t>
  </si>
  <si>
    <t xml:space="preserve">ORD100621</t>
  </si>
  <si>
    <t xml:space="preserve">CUST1835</t>
  </si>
  <si>
    <t xml:space="preserve">Customer_81</t>
  </si>
  <si>
    <t xml:space="preserve">ORD100622</t>
  </si>
  <si>
    <t xml:space="preserve">CUST3497</t>
  </si>
  <si>
    <t xml:space="preserve">ORD100623</t>
  </si>
  <si>
    <t xml:space="preserve">CUST1452</t>
  </si>
  <si>
    <t xml:space="preserve">Customer_68</t>
  </si>
  <si>
    <t xml:space="preserve">ORD100624</t>
  </si>
  <si>
    <t xml:space="preserve">CUST7416</t>
  </si>
  <si>
    <t xml:space="preserve">Customer_191</t>
  </si>
  <si>
    <t xml:space="preserve">ORD100625</t>
  </si>
  <si>
    <t xml:space="preserve">ORD100626</t>
  </si>
  <si>
    <t xml:space="preserve">CUST8649</t>
  </si>
  <si>
    <t xml:space="preserve">ORD100627</t>
  </si>
  <si>
    <t xml:space="preserve">CUST7361</t>
  </si>
  <si>
    <t xml:space="preserve">ORD100628</t>
  </si>
  <si>
    <t xml:space="preserve">CUST9567</t>
  </si>
  <si>
    <t xml:space="preserve">ORD100629</t>
  </si>
  <si>
    <t xml:space="preserve">CUST6432</t>
  </si>
  <si>
    <t xml:space="preserve">ORD100630</t>
  </si>
  <si>
    <t xml:space="preserve">CUST4934</t>
  </si>
  <si>
    <t xml:space="preserve">ORD100631</t>
  </si>
  <si>
    <t xml:space="preserve">CUST6845</t>
  </si>
  <si>
    <t xml:space="preserve">ORD100632</t>
  </si>
  <si>
    <t xml:space="preserve">CUST1252</t>
  </si>
  <si>
    <t xml:space="preserve">ORD100633</t>
  </si>
  <si>
    <t xml:space="preserve">ORD100634</t>
  </si>
  <si>
    <t xml:space="preserve">CUST9488</t>
  </si>
  <si>
    <t xml:space="preserve">ORD100635</t>
  </si>
  <si>
    <t xml:space="preserve">ORD100636</t>
  </si>
  <si>
    <t xml:space="preserve">CUST4810</t>
  </si>
  <si>
    <t xml:space="preserve">ORD100637</t>
  </si>
  <si>
    <t xml:space="preserve">CUST1106</t>
  </si>
  <si>
    <t xml:space="preserve">Customer_135</t>
  </si>
  <si>
    <t xml:space="preserve">ORD100638</t>
  </si>
  <si>
    <t xml:space="preserve">ORD100639</t>
  </si>
  <si>
    <t xml:space="preserve">CUST3004</t>
  </si>
  <si>
    <t xml:space="preserve">ORD100640</t>
  </si>
  <si>
    <t xml:space="preserve">CUST6421</t>
  </si>
  <si>
    <t xml:space="preserve">ORD100641</t>
  </si>
  <si>
    <t xml:space="preserve">ORD100642</t>
  </si>
  <si>
    <t xml:space="preserve">CUST9384</t>
  </si>
  <si>
    <t xml:space="preserve">ORD100643</t>
  </si>
  <si>
    <t xml:space="preserve">CUST9081</t>
  </si>
  <si>
    <t xml:space="preserve">ORD100644</t>
  </si>
  <si>
    <t xml:space="preserve">CUST6589</t>
  </si>
  <si>
    <t xml:space="preserve">ORD100645</t>
  </si>
  <si>
    <t xml:space="preserve">CUST7844</t>
  </si>
  <si>
    <t xml:space="preserve">Customer_469</t>
  </si>
  <si>
    <t xml:space="preserve">ORD100646</t>
  </si>
  <si>
    <t xml:space="preserve">CUST4673</t>
  </si>
  <si>
    <t xml:space="preserve">Customer_386</t>
  </si>
  <si>
    <t xml:space="preserve">ORD100647</t>
  </si>
  <si>
    <t xml:space="preserve">CUST7504</t>
  </si>
  <si>
    <t xml:space="preserve">ORD100648</t>
  </si>
  <si>
    <t xml:space="preserve">CUST6921</t>
  </si>
  <si>
    <t xml:space="preserve">ORD100649</t>
  </si>
  <si>
    <t xml:space="preserve">CUST4109</t>
  </si>
  <si>
    <t xml:space="preserve">ORD100650</t>
  </si>
  <si>
    <t xml:space="preserve">CUST2181</t>
  </si>
  <si>
    <t xml:space="preserve">ORD100651</t>
  </si>
  <si>
    <t xml:space="preserve">CUST8708</t>
  </si>
  <si>
    <t xml:space="preserve">ORD100652</t>
  </si>
  <si>
    <t xml:space="preserve">CUST7219</t>
  </si>
  <si>
    <t xml:space="preserve">ORD100653</t>
  </si>
  <si>
    <t xml:space="preserve">CUST5516</t>
  </si>
  <si>
    <t xml:space="preserve">ORD100654</t>
  </si>
  <si>
    <t xml:space="preserve">CUST9562</t>
  </si>
  <si>
    <t xml:space="preserve">ORD100655</t>
  </si>
  <si>
    <t xml:space="preserve">CUST8347</t>
  </si>
  <si>
    <t xml:space="preserve">ORD100656</t>
  </si>
  <si>
    <t xml:space="preserve">CUST3567</t>
  </si>
  <si>
    <t xml:space="preserve">ORD100657</t>
  </si>
  <si>
    <t xml:space="preserve">CUST8110</t>
  </si>
  <si>
    <t xml:space="preserve">ORD100658</t>
  </si>
  <si>
    <t xml:space="preserve">CUST4584</t>
  </si>
  <si>
    <t xml:space="preserve">ORD100659</t>
  </si>
  <si>
    <t xml:space="preserve">CUST4537</t>
  </si>
  <si>
    <t xml:space="preserve">Customer_9</t>
  </si>
  <si>
    <t xml:space="preserve">ORD100660</t>
  </si>
  <si>
    <t xml:space="preserve">CUST5154</t>
  </si>
  <si>
    <t xml:space="preserve">ORD100661</t>
  </si>
  <si>
    <t xml:space="preserve">CUST9614</t>
  </si>
  <si>
    <t xml:space="preserve">ORD100662</t>
  </si>
  <si>
    <t xml:space="preserve">CUST8300</t>
  </si>
  <si>
    <t xml:space="preserve">ORD100663</t>
  </si>
  <si>
    <t xml:space="preserve">CUST1673</t>
  </si>
  <si>
    <t xml:space="preserve">ORD100664</t>
  </si>
  <si>
    <t xml:space="preserve">CUST7016</t>
  </si>
  <si>
    <t xml:space="preserve">Customer_88</t>
  </si>
  <si>
    <t xml:space="preserve">ORD100665</t>
  </si>
  <si>
    <t xml:space="preserve">CUST2672</t>
  </si>
  <si>
    <t xml:space="preserve">ORD100666</t>
  </si>
  <si>
    <t xml:space="preserve">CUST3237</t>
  </si>
  <si>
    <t xml:space="preserve">ORD100667</t>
  </si>
  <si>
    <t xml:space="preserve">ORD100668</t>
  </si>
  <si>
    <t xml:space="preserve">CUST6684</t>
  </si>
  <si>
    <t xml:space="preserve">ORD100669</t>
  </si>
  <si>
    <t xml:space="preserve">CUST3321</t>
  </si>
  <si>
    <t xml:space="preserve">ORD100670</t>
  </si>
  <si>
    <t xml:space="preserve">CUST2904</t>
  </si>
  <si>
    <t xml:space="preserve">Customer_269</t>
  </si>
  <si>
    <t xml:space="preserve">ORD100671</t>
  </si>
  <si>
    <t xml:space="preserve">CUST1681</t>
  </si>
  <si>
    <t xml:space="preserve">ORD100672</t>
  </si>
  <si>
    <t xml:space="preserve">CUST7863</t>
  </si>
  <si>
    <t xml:space="preserve">ORD100673</t>
  </si>
  <si>
    <t xml:space="preserve">CUST2218</t>
  </si>
  <si>
    <t xml:space="preserve">Customer_392</t>
  </si>
  <si>
    <t xml:space="preserve">ORD100674</t>
  </si>
  <si>
    <t xml:space="preserve">CUST6288</t>
  </si>
  <si>
    <t xml:space="preserve">ORD100675</t>
  </si>
  <si>
    <t xml:space="preserve">CUST8502</t>
  </si>
  <si>
    <t xml:space="preserve">ORD100676</t>
  </si>
  <si>
    <t xml:space="preserve">CUST1433</t>
  </si>
  <si>
    <t xml:space="preserve">ORD100677</t>
  </si>
  <si>
    <t xml:space="preserve">CUST4997</t>
  </si>
  <si>
    <t xml:space="preserve">ORD100678</t>
  </si>
  <si>
    <t xml:space="preserve">CUST2827</t>
  </si>
  <si>
    <t xml:space="preserve">Customer_287</t>
  </si>
  <si>
    <t xml:space="preserve">ORD100679</t>
  </si>
  <si>
    <t xml:space="preserve">CUST4559</t>
  </si>
  <si>
    <t xml:space="preserve">ORD100680</t>
  </si>
  <si>
    <t xml:space="preserve">CUST7093</t>
  </si>
  <si>
    <t xml:space="preserve">ORD100681</t>
  </si>
  <si>
    <t xml:space="preserve">CUST8364</t>
  </si>
  <si>
    <t xml:space="preserve">Customer_325</t>
  </si>
  <si>
    <t xml:space="preserve">ORD100682</t>
  </si>
  <si>
    <t xml:space="preserve">CUST3285</t>
  </si>
  <si>
    <t xml:space="preserve">Customer_232</t>
  </si>
  <si>
    <t xml:space="preserve">ORD100683</t>
  </si>
  <si>
    <t xml:space="preserve">CUST1104</t>
  </si>
  <si>
    <t xml:space="preserve">ORD100684</t>
  </si>
  <si>
    <t xml:space="preserve">CUST5155</t>
  </si>
  <si>
    <t xml:space="preserve">ORD100685</t>
  </si>
  <si>
    <t xml:space="preserve">Customer_105</t>
  </si>
  <si>
    <t xml:space="preserve">ORD100686</t>
  </si>
  <si>
    <t xml:space="preserve">CUST3966</t>
  </si>
  <si>
    <t xml:space="preserve">ORD100687</t>
  </si>
  <si>
    <t xml:space="preserve">CUST2093</t>
  </si>
  <si>
    <t xml:space="preserve">Customer_428</t>
  </si>
  <si>
    <t xml:space="preserve">ORD100688</t>
  </si>
  <si>
    <t xml:space="preserve">CUST9957</t>
  </si>
  <si>
    <t xml:space="preserve">Customer_116</t>
  </si>
  <si>
    <t xml:space="preserve">ORD100689</t>
  </si>
  <si>
    <t xml:space="preserve">CUST3682</t>
  </si>
  <si>
    <t xml:space="preserve">ORD100690</t>
  </si>
  <si>
    <t xml:space="preserve">CUST4110</t>
  </si>
  <si>
    <t xml:space="preserve">ORD100691</t>
  </si>
  <si>
    <t xml:space="preserve">CUST2597</t>
  </si>
  <si>
    <t xml:space="preserve">ORD100692</t>
  </si>
  <si>
    <t xml:space="preserve">CUST8390</t>
  </si>
  <si>
    <t xml:space="preserve">ORD100693</t>
  </si>
  <si>
    <t xml:space="preserve">CUST4270</t>
  </si>
  <si>
    <t xml:space="preserve">ORD100694</t>
  </si>
  <si>
    <t xml:space="preserve">CUST3138</t>
  </si>
  <si>
    <t xml:space="preserve">Customer_440</t>
  </si>
  <si>
    <t xml:space="preserve">ORD100695</t>
  </si>
  <si>
    <t xml:space="preserve">CUST4602</t>
  </si>
  <si>
    <t xml:space="preserve">ORD100696</t>
  </si>
  <si>
    <t xml:space="preserve">CUST7631</t>
  </si>
  <si>
    <t xml:space="preserve">ORD100697</t>
  </si>
  <si>
    <t xml:space="preserve">ORD100698</t>
  </si>
  <si>
    <t xml:space="preserve">CUST7317</t>
  </si>
  <si>
    <t xml:space="preserve">ORD100699</t>
  </si>
  <si>
    <t xml:space="preserve">CUST2644</t>
  </si>
  <si>
    <t xml:space="preserve">ORD100700</t>
  </si>
  <si>
    <t xml:space="preserve">CUST9674</t>
  </si>
  <si>
    <t xml:space="preserve">ORD100701</t>
  </si>
  <si>
    <t xml:space="preserve">CUST3078</t>
  </si>
  <si>
    <t xml:space="preserve">ORD100702</t>
  </si>
  <si>
    <t xml:space="preserve">CUST8962</t>
  </si>
  <si>
    <t xml:space="preserve">ORD100703</t>
  </si>
  <si>
    <t xml:space="preserve">CUST7236</t>
  </si>
  <si>
    <t xml:space="preserve">Customer_366</t>
  </si>
  <si>
    <t xml:space="preserve">ORD100704</t>
  </si>
  <si>
    <t xml:space="preserve">CUST4420</t>
  </si>
  <si>
    <t xml:space="preserve">ORD100705</t>
  </si>
  <si>
    <t xml:space="preserve">CUST6621</t>
  </si>
  <si>
    <t xml:space="preserve">ORD100706</t>
  </si>
  <si>
    <t xml:space="preserve">CUST8532</t>
  </si>
  <si>
    <t xml:space="preserve">ORD100707</t>
  </si>
  <si>
    <t xml:space="preserve">CUST6658</t>
  </si>
  <si>
    <t xml:space="preserve">ORD100708</t>
  </si>
  <si>
    <t xml:space="preserve">CUST4742</t>
  </si>
  <si>
    <t xml:space="preserve">ORD100709</t>
  </si>
  <si>
    <t xml:space="preserve">CUST2744</t>
  </si>
  <si>
    <t xml:space="preserve">Customer_300</t>
  </si>
  <si>
    <t xml:space="preserve">ORD100710</t>
  </si>
  <si>
    <t xml:space="preserve">CUST6870</t>
  </si>
  <si>
    <t xml:space="preserve">ORD100711</t>
  </si>
  <si>
    <t xml:space="preserve">CUST1175</t>
  </si>
  <si>
    <t xml:space="preserve">Customer_472</t>
  </si>
  <si>
    <t xml:space="preserve">ORD100712</t>
  </si>
  <si>
    <t xml:space="preserve">CUST3745</t>
  </si>
  <si>
    <t xml:space="preserve">ORD100713</t>
  </si>
  <si>
    <t xml:space="preserve">CUST6638</t>
  </si>
  <si>
    <t xml:space="preserve">ORD100714</t>
  </si>
  <si>
    <t xml:space="preserve">CUST4037</t>
  </si>
  <si>
    <t xml:space="preserve">ORD100715</t>
  </si>
  <si>
    <t xml:space="preserve">CUST8877</t>
  </si>
  <si>
    <t xml:space="preserve">ORD100716</t>
  </si>
  <si>
    <t xml:space="preserve">CUST6096</t>
  </si>
  <si>
    <t xml:space="preserve">ORD100717</t>
  </si>
  <si>
    <t xml:space="preserve">CUST7371</t>
  </si>
  <si>
    <t xml:space="preserve">ORD100718</t>
  </si>
  <si>
    <t xml:space="preserve">CUST4532</t>
  </si>
  <si>
    <t xml:space="preserve">ORD100719</t>
  </si>
  <si>
    <t xml:space="preserve">CUST6697</t>
  </si>
  <si>
    <t xml:space="preserve">ORD100721</t>
  </si>
  <si>
    <t xml:space="preserve">CUST7615</t>
  </si>
  <si>
    <t xml:space="preserve">ORD100722</t>
  </si>
  <si>
    <t xml:space="preserve">CUST8431</t>
  </si>
  <si>
    <t xml:space="preserve">ORD100723</t>
  </si>
  <si>
    <t xml:space="preserve">CUST8657</t>
  </si>
  <si>
    <t xml:space="preserve">ORD100724</t>
  </si>
  <si>
    <t xml:space="preserve">CUST6762</t>
  </si>
  <si>
    <t xml:space="preserve">ORD100725</t>
  </si>
  <si>
    <t xml:space="preserve">CUST5477</t>
  </si>
  <si>
    <t xml:space="preserve">ORD100726</t>
  </si>
  <si>
    <t xml:space="preserve">CUST8338</t>
  </si>
  <si>
    <t xml:space="preserve">ORD100727</t>
  </si>
  <si>
    <t xml:space="preserve">CUST3850</t>
  </si>
  <si>
    <t xml:space="preserve">ORD100728</t>
  </si>
  <si>
    <t xml:space="preserve">CUST8017</t>
  </si>
  <si>
    <t xml:space="preserve">ORD100729</t>
  </si>
  <si>
    <t xml:space="preserve">CUST5295</t>
  </si>
  <si>
    <t xml:space="preserve">ORD100730</t>
  </si>
  <si>
    <t xml:space="preserve">CUST4553</t>
  </si>
  <si>
    <t xml:space="preserve">ORD100731</t>
  </si>
  <si>
    <t xml:space="preserve">CUST1269</t>
  </si>
  <si>
    <t xml:space="preserve">ORD100732</t>
  </si>
  <si>
    <t xml:space="preserve">CUST6578</t>
  </si>
  <si>
    <t xml:space="preserve">ORD100733</t>
  </si>
  <si>
    <t xml:space="preserve">CUST2832</t>
  </si>
  <si>
    <t xml:space="preserve">ORD100734</t>
  </si>
  <si>
    <t xml:space="preserve">CUST8314</t>
  </si>
  <si>
    <t xml:space="preserve">ORD100735</t>
  </si>
  <si>
    <t xml:space="preserve">CUST7026</t>
  </si>
  <si>
    <t xml:space="preserve">ORD100736</t>
  </si>
  <si>
    <t xml:space="preserve">CUST2793</t>
  </si>
  <si>
    <t xml:space="preserve">ORD100737</t>
  </si>
  <si>
    <t xml:space="preserve">CUST7522</t>
  </si>
  <si>
    <t xml:space="preserve">ORD100738</t>
  </si>
  <si>
    <t xml:space="preserve">CUST1987</t>
  </si>
  <si>
    <t xml:space="preserve">ORD100739</t>
  </si>
  <si>
    <t xml:space="preserve">CUST9414</t>
  </si>
  <si>
    <t xml:space="preserve">ORD100740</t>
  </si>
  <si>
    <t xml:space="preserve">CUST2589</t>
  </si>
  <si>
    <t xml:space="preserve">ORD100741</t>
  </si>
  <si>
    <t xml:space="preserve">CUST8851</t>
  </si>
  <si>
    <t xml:space="preserve">ORD100742</t>
  </si>
  <si>
    <t xml:space="preserve">CUST4103</t>
  </si>
  <si>
    <t xml:space="preserve">ORD100743</t>
  </si>
  <si>
    <t xml:space="preserve">CUST2138</t>
  </si>
  <si>
    <t xml:space="preserve">Customer_303</t>
  </si>
  <si>
    <t xml:space="preserve">ORD100744</t>
  </si>
  <si>
    <t xml:space="preserve">ORD100745</t>
  </si>
  <si>
    <t xml:space="preserve">CUST5624</t>
  </si>
  <si>
    <t xml:space="preserve">ORD100746</t>
  </si>
  <si>
    <t xml:space="preserve">CUST9518</t>
  </si>
  <si>
    <t xml:space="preserve">ORD100747</t>
  </si>
  <si>
    <t xml:space="preserve">CUST9339</t>
  </si>
  <si>
    <t xml:space="preserve">ORD100748</t>
  </si>
  <si>
    <t xml:space="preserve">ORD100749</t>
  </si>
  <si>
    <t xml:space="preserve">CUST6348</t>
  </si>
  <si>
    <t xml:space="preserve">ORD100750</t>
  </si>
  <si>
    <t xml:space="preserve">CUST3730</t>
  </si>
  <si>
    <t xml:space="preserve">ORD100751</t>
  </si>
  <si>
    <t xml:space="preserve">CUST8058</t>
  </si>
  <si>
    <t xml:space="preserve">ORD100752</t>
  </si>
  <si>
    <t xml:space="preserve">CUST2921</t>
  </si>
  <si>
    <t xml:space="preserve">ORD100753</t>
  </si>
  <si>
    <t xml:space="preserve">CUST9650</t>
  </si>
  <si>
    <t xml:space="preserve">Customer_361</t>
  </si>
  <si>
    <t xml:space="preserve">ORD100754</t>
  </si>
  <si>
    <t xml:space="preserve">CUST2604</t>
  </si>
  <si>
    <t xml:space="preserve">Customer_356</t>
  </si>
  <si>
    <t xml:space="preserve">ORD100755</t>
  </si>
  <si>
    <t xml:space="preserve">CUST9651</t>
  </si>
  <si>
    <t xml:space="preserve">ORD100756</t>
  </si>
  <si>
    <t xml:space="preserve">CUST1637</t>
  </si>
  <si>
    <t xml:space="preserve">ORD100757</t>
  </si>
  <si>
    <t xml:space="preserve">CUST9515</t>
  </si>
  <si>
    <t xml:space="preserve">Customer_52</t>
  </si>
  <si>
    <t xml:space="preserve">ORD100758</t>
  </si>
  <si>
    <t xml:space="preserve">CUST7173</t>
  </si>
  <si>
    <t xml:space="preserve">ORD100759</t>
  </si>
  <si>
    <t xml:space="preserve">CUST6279</t>
  </si>
  <si>
    <t xml:space="preserve">Customer_97</t>
  </si>
  <si>
    <t xml:space="preserve">ORD100760</t>
  </si>
  <si>
    <t xml:space="preserve">CUST2867</t>
  </si>
  <si>
    <t xml:space="preserve">ORD100761</t>
  </si>
  <si>
    <t xml:space="preserve">CUST3851</t>
  </si>
  <si>
    <t xml:space="preserve">ORD100762</t>
  </si>
  <si>
    <t xml:space="preserve">CUST8729</t>
  </si>
  <si>
    <t xml:space="preserve">Customer_72</t>
  </si>
  <si>
    <t xml:space="preserve">ORD100763</t>
  </si>
  <si>
    <t xml:space="preserve">CUST3580</t>
  </si>
  <si>
    <t xml:space="preserve">ORD100764</t>
  </si>
  <si>
    <t xml:space="preserve">ORD100765</t>
  </si>
  <si>
    <t xml:space="preserve">CUST8834</t>
  </si>
  <si>
    <t xml:space="preserve">ORD100766</t>
  </si>
  <si>
    <t xml:space="preserve">CUST6815</t>
  </si>
  <si>
    <t xml:space="preserve">ORD100767</t>
  </si>
  <si>
    <t xml:space="preserve">CUST1790</t>
  </si>
  <si>
    <t xml:space="preserve">ORD100768</t>
  </si>
  <si>
    <t xml:space="preserve">CUST9952</t>
  </si>
  <si>
    <t xml:space="preserve">ORD100769</t>
  </si>
  <si>
    <t xml:space="preserve">CUST7600</t>
  </si>
  <si>
    <t xml:space="preserve">ORD100770</t>
  </si>
  <si>
    <t xml:space="preserve">CUST9628</t>
  </si>
  <si>
    <t xml:space="preserve">Customer_422</t>
  </si>
  <si>
    <t xml:space="preserve">ORD100771</t>
  </si>
  <si>
    <t xml:space="preserve">CUST5415</t>
  </si>
  <si>
    <t xml:space="preserve">Customer_460</t>
  </si>
  <si>
    <t xml:space="preserve">ORD100772</t>
  </si>
  <si>
    <t xml:space="preserve">CUST6752</t>
  </si>
  <si>
    <t xml:space="preserve">ORD100773</t>
  </si>
  <si>
    <t xml:space="preserve">CUST7110</t>
  </si>
  <si>
    <t xml:space="preserve">ORD100774</t>
  </si>
  <si>
    <t xml:space="preserve">CUST5240</t>
  </si>
  <si>
    <t xml:space="preserve">ORD100775</t>
  </si>
  <si>
    <t xml:space="preserve">CUST5505</t>
  </si>
  <si>
    <t xml:space="preserve">ORD100776</t>
  </si>
  <si>
    <t xml:space="preserve">CUST6116</t>
  </si>
  <si>
    <t xml:space="preserve">ORD100777</t>
  </si>
  <si>
    <t xml:space="preserve">CUST3566</t>
  </si>
  <si>
    <t xml:space="preserve">ORD100778</t>
  </si>
  <si>
    <t xml:space="preserve">ORD100779</t>
  </si>
  <si>
    <t xml:space="preserve">CUST3948</t>
  </si>
  <si>
    <t xml:space="preserve">Customer_465</t>
  </si>
  <si>
    <t xml:space="preserve">ORD100780</t>
  </si>
  <si>
    <t xml:space="preserve">CUST2369</t>
  </si>
  <si>
    <t xml:space="preserve">Customer_259</t>
  </si>
  <si>
    <t xml:space="preserve">ORD100781</t>
  </si>
  <si>
    <t xml:space="preserve">CUST3542</t>
  </si>
  <si>
    <t xml:space="preserve">ORD100782</t>
  </si>
  <si>
    <t xml:space="preserve">CUST7724</t>
  </si>
  <si>
    <t xml:space="preserve">ORD100783</t>
  </si>
  <si>
    <t xml:space="preserve">CUST5419</t>
  </si>
  <si>
    <t xml:space="preserve">ORD100784</t>
  </si>
  <si>
    <t xml:space="preserve">CUST6571</t>
  </si>
  <si>
    <t xml:space="preserve">ORD100785</t>
  </si>
  <si>
    <t xml:space="preserve">CUST7650</t>
  </si>
  <si>
    <t xml:space="preserve">ORD100786</t>
  </si>
  <si>
    <t xml:space="preserve">CUST7445</t>
  </si>
  <si>
    <t xml:space="preserve">ORD100787</t>
  </si>
  <si>
    <t xml:space="preserve">CUST6565</t>
  </si>
  <si>
    <t xml:space="preserve">ORD100788</t>
  </si>
  <si>
    <t xml:space="preserve">CUST2969</t>
  </si>
  <si>
    <t xml:space="preserve">ORD100789</t>
  </si>
  <si>
    <t xml:space="preserve">CUST3298</t>
  </si>
  <si>
    <t xml:space="preserve">ORD100790</t>
  </si>
  <si>
    <t xml:space="preserve">CUST3260</t>
  </si>
  <si>
    <t xml:space="preserve">Customer_237</t>
  </si>
  <si>
    <t xml:space="preserve">ORD100791</t>
  </si>
  <si>
    <t xml:space="preserve">CUST9962</t>
  </si>
  <si>
    <t xml:space="preserve">ORD100792</t>
  </si>
  <si>
    <t xml:space="preserve">CUST6814</t>
  </si>
  <si>
    <t xml:space="preserve">ORD100793</t>
  </si>
  <si>
    <t xml:space="preserve">CUST2859</t>
  </si>
  <si>
    <t xml:space="preserve">ORD100794</t>
  </si>
  <si>
    <t xml:space="preserve">CUST7228</t>
  </si>
  <si>
    <t xml:space="preserve">ORD100795</t>
  </si>
  <si>
    <t xml:space="preserve">CUST2551</t>
  </si>
  <si>
    <t xml:space="preserve">ORD100796</t>
  </si>
  <si>
    <t xml:space="preserve">ORD100797</t>
  </si>
  <si>
    <t xml:space="preserve">ORD100798</t>
  </si>
  <si>
    <t xml:space="preserve">CUST5718</t>
  </si>
  <si>
    <t xml:space="preserve">ORD100799</t>
  </si>
  <si>
    <t xml:space="preserve">CUST8242</t>
  </si>
  <si>
    <t xml:space="preserve">ORD100800</t>
  </si>
  <si>
    <t xml:space="preserve">CUST1618</t>
  </si>
  <si>
    <t xml:space="preserve">ORD100801</t>
  </si>
  <si>
    <t xml:space="preserve">CUST3297</t>
  </si>
  <si>
    <t xml:space="preserve">ORD100802</t>
  </si>
  <si>
    <t xml:space="preserve">CUST4901</t>
  </si>
  <si>
    <t xml:space="preserve">ORD100803</t>
  </si>
  <si>
    <t xml:space="preserve">CUST3189</t>
  </si>
  <si>
    <t xml:space="preserve">ORD100804</t>
  </si>
  <si>
    <t xml:space="preserve">CUST3690</t>
  </si>
  <si>
    <t xml:space="preserve">ORD100805</t>
  </si>
  <si>
    <t xml:space="preserve">CUST7876</t>
  </si>
  <si>
    <t xml:space="preserve">ORD100806</t>
  </si>
  <si>
    <t xml:space="preserve">ORD100807</t>
  </si>
  <si>
    <t xml:space="preserve">CUST6442</t>
  </si>
  <si>
    <t xml:space="preserve">Customer_10</t>
  </si>
  <si>
    <t xml:space="preserve">ORD100808</t>
  </si>
  <si>
    <t xml:space="preserve">CUST9514</t>
  </si>
  <si>
    <t xml:space="preserve">ORD100809</t>
  </si>
  <si>
    <t xml:space="preserve">CUST7903</t>
  </si>
  <si>
    <t xml:space="preserve">ORD100810</t>
  </si>
  <si>
    <t xml:space="preserve">CUST1658</t>
  </si>
  <si>
    <t xml:space="preserve">ORD100811</t>
  </si>
  <si>
    <t xml:space="preserve">CUST6719</t>
  </si>
  <si>
    <t xml:space="preserve">ORD100812</t>
  </si>
  <si>
    <t xml:space="preserve">CUST4941</t>
  </si>
  <si>
    <t xml:space="preserve">ORD100813</t>
  </si>
  <si>
    <t xml:space="preserve">CUST5851</t>
  </si>
  <si>
    <t xml:space="preserve">Customer_418</t>
  </si>
  <si>
    <t xml:space="preserve">ORD100814</t>
  </si>
  <si>
    <t xml:space="preserve">CUST1149</t>
  </si>
  <si>
    <t xml:space="preserve">Customer_14</t>
  </si>
  <si>
    <t xml:space="preserve">ORD100815</t>
  </si>
  <si>
    <t xml:space="preserve">CUST6336</t>
  </si>
  <si>
    <t xml:space="preserve">ORD100816</t>
  </si>
  <si>
    <t xml:space="preserve">CUST1960</t>
  </si>
  <si>
    <t xml:space="preserve">ORD100817</t>
  </si>
  <si>
    <t xml:space="preserve">CUST6933</t>
  </si>
  <si>
    <t xml:space="preserve">ORD100818</t>
  </si>
  <si>
    <t xml:space="preserve">ORD100819</t>
  </si>
  <si>
    <t xml:space="preserve">CUST8754</t>
  </si>
  <si>
    <t xml:space="preserve">Customer_77</t>
  </si>
  <si>
    <t xml:space="preserve">ORD100820</t>
  </si>
  <si>
    <t xml:space="preserve">ORD100821</t>
  </si>
  <si>
    <t xml:space="preserve">CUST4979</t>
  </si>
  <si>
    <t xml:space="preserve">ORD100822</t>
  </si>
  <si>
    <t xml:space="preserve">CUST6340</t>
  </si>
  <si>
    <t xml:space="preserve">ORD100823</t>
  </si>
  <si>
    <t xml:space="preserve">CUST7814</t>
  </si>
  <si>
    <t xml:space="preserve">Customer_134</t>
  </si>
  <si>
    <t xml:space="preserve">ORD100824</t>
  </si>
  <si>
    <t xml:space="preserve">CUST8199</t>
  </si>
  <si>
    <t xml:space="preserve">ORD100825</t>
  </si>
  <si>
    <t xml:space="preserve">CUST9718</t>
  </si>
  <si>
    <t xml:space="preserve">ORD100826</t>
  </si>
  <si>
    <t xml:space="preserve">CUST7065</t>
  </si>
  <si>
    <t xml:space="preserve">ORD100827</t>
  </si>
  <si>
    <t xml:space="preserve">CUST6162</t>
  </si>
  <si>
    <t xml:space="preserve">ORD100828</t>
  </si>
  <si>
    <t xml:space="preserve">CUST6944</t>
  </si>
  <si>
    <t xml:space="preserve">ORD100829</t>
  </si>
  <si>
    <t xml:space="preserve">CUST8319</t>
  </si>
  <si>
    <t xml:space="preserve">ORD100830</t>
  </si>
  <si>
    <t xml:space="preserve">CUST6540</t>
  </si>
  <si>
    <t xml:space="preserve">ORD100831</t>
  </si>
  <si>
    <t xml:space="preserve">CUST8453</t>
  </si>
  <si>
    <t xml:space="preserve">ORD100832</t>
  </si>
  <si>
    <t xml:space="preserve">CUST5605</t>
  </si>
  <si>
    <t xml:space="preserve">ORD100833</t>
  </si>
  <si>
    <t xml:space="preserve">CUST8704</t>
  </si>
  <si>
    <t xml:space="preserve">ORD100834</t>
  </si>
  <si>
    <t xml:space="preserve">CUST3264</t>
  </si>
  <si>
    <t xml:space="preserve">ORD100835</t>
  </si>
  <si>
    <t xml:space="preserve">CUST9364</t>
  </si>
  <si>
    <t xml:space="preserve">ORD100836</t>
  </si>
  <si>
    <t xml:space="preserve">ORD100837</t>
  </si>
  <si>
    <t xml:space="preserve">ORD100838</t>
  </si>
  <si>
    <t xml:space="preserve">CUST5389</t>
  </si>
  <si>
    <t xml:space="preserve">ORD100839</t>
  </si>
  <si>
    <t xml:space="preserve">CUST8766</t>
  </si>
  <si>
    <t xml:space="preserve">Customer_140</t>
  </si>
  <si>
    <t xml:space="preserve">CUST5585</t>
  </si>
  <si>
    <t xml:space="preserve">Customer_289</t>
  </si>
  <si>
    <t xml:space="preserve">ORD100841</t>
  </si>
  <si>
    <t xml:space="preserve">CUST7544</t>
  </si>
  <si>
    <t xml:space="preserve">ORD100842</t>
  </si>
  <si>
    <t xml:space="preserve">CUST8217</t>
  </si>
  <si>
    <t xml:space="preserve">ORD100843</t>
  </si>
  <si>
    <t xml:space="preserve">CUST6780</t>
  </si>
  <si>
    <t xml:space="preserve">ORD100844</t>
  </si>
  <si>
    <t xml:space="preserve">CUST9804</t>
  </si>
  <si>
    <t xml:space="preserve">Customer_284</t>
  </si>
  <si>
    <t xml:space="preserve">ORD100845</t>
  </si>
  <si>
    <t xml:space="preserve">CUST5876</t>
  </si>
  <si>
    <t xml:space="preserve">ORD100846</t>
  </si>
  <si>
    <t xml:space="preserve">CUST1026</t>
  </si>
  <si>
    <t xml:space="preserve">ORD100847</t>
  </si>
  <si>
    <t xml:space="preserve">CUST5432</t>
  </si>
  <si>
    <t xml:space="preserve">ORD100848</t>
  </si>
  <si>
    <t xml:space="preserve">CUST8575</t>
  </si>
  <si>
    <t xml:space="preserve">Customer_481</t>
  </si>
  <si>
    <t xml:space="preserve">ORD100849</t>
  </si>
  <si>
    <t xml:space="preserve">CUST5455</t>
  </si>
  <si>
    <t xml:space="preserve">ORD100850</t>
  </si>
  <si>
    <t xml:space="preserve">CUST2834</t>
  </si>
  <si>
    <t xml:space="preserve">ORD100851</t>
  </si>
  <si>
    <t xml:space="preserve">CUST4431</t>
  </si>
  <si>
    <t xml:space="preserve">ORD100852</t>
  </si>
  <si>
    <t xml:space="preserve">CUST3744</t>
  </si>
  <si>
    <t xml:space="preserve">ORD100853</t>
  </si>
  <si>
    <t xml:space="preserve">CUST1962</t>
  </si>
  <si>
    <t xml:space="preserve">ORD100854</t>
  </si>
  <si>
    <t xml:space="preserve">CUST7787</t>
  </si>
  <si>
    <t xml:space="preserve">ORD100855</t>
  </si>
  <si>
    <t xml:space="preserve">CUST3679</t>
  </si>
  <si>
    <t xml:space="preserve">ORD100856</t>
  </si>
  <si>
    <t xml:space="preserve">CUST8455</t>
  </si>
  <si>
    <t xml:space="preserve">ORD100857</t>
  </si>
  <si>
    <t xml:space="preserve">CUST4973</t>
  </si>
  <si>
    <t xml:space="preserve">Customer_443</t>
  </si>
  <si>
    <t xml:space="preserve">ORD100858</t>
  </si>
  <si>
    <t xml:space="preserve">CUST7578</t>
  </si>
  <si>
    <t xml:space="preserve">Customer_245</t>
  </si>
  <si>
    <t xml:space="preserve">ORD100859</t>
  </si>
  <si>
    <t xml:space="preserve">CUST9287</t>
  </si>
  <si>
    <t xml:space="preserve">Customer_281</t>
  </si>
  <si>
    <t xml:space="preserve">ORD100860</t>
  </si>
  <si>
    <t xml:space="preserve">CUST3430</t>
  </si>
  <si>
    <t xml:space="preserve">Customer_184</t>
  </si>
  <si>
    <t xml:space="preserve">ORD100861</t>
  </si>
  <si>
    <t xml:space="preserve">CUST9817</t>
  </si>
  <si>
    <t xml:space="preserve">ORD100862</t>
  </si>
  <si>
    <t xml:space="preserve">CUST7072</t>
  </si>
  <si>
    <t xml:space="preserve">ORD100863</t>
  </si>
  <si>
    <t xml:space="preserve">ORD100864</t>
  </si>
  <si>
    <t xml:space="preserve">CUST3327</t>
  </si>
  <si>
    <t xml:space="preserve">ORD100865</t>
  </si>
  <si>
    <t xml:space="preserve">CUST2202</t>
  </si>
  <si>
    <t xml:space="preserve">ORD100866</t>
  </si>
  <si>
    <t xml:space="preserve">CUST3767</t>
  </si>
  <si>
    <t xml:space="preserve">ORD100867</t>
  </si>
  <si>
    <t xml:space="preserve">CUST4947</t>
  </si>
  <si>
    <t xml:space="preserve">ORD100868</t>
  </si>
  <si>
    <t xml:space="preserve">CUST4888</t>
  </si>
  <si>
    <t xml:space="preserve">Customer_13</t>
  </si>
  <si>
    <t xml:space="preserve">ORD100869</t>
  </si>
  <si>
    <t xml:space="preserve">ORD100870</t>
  </si>
  <si>
    <t xml:space="preserve">CUST4112</t>
  </si>
  <si>
    <t xml:space="preserve">ORD100871</t>
  </si>
  <si>
    <t xml:space="preserve">CUST1442</t>
  </si>
  <si>
    <t xml:space="preserve">ORD100872</t>
  </si>
  <si>
    <t xml:space="preserve">CUST2757</t>
  </si>
  <si>
    <t xml:space="preserve">ORD100873</t>
  </si>
  <si>
    <t xml:space="preserve">CUST5319</t>
  </si>
  <si>
    <t xml:space="preserve">ORD100874</t>
  </si>
  <si>
    <t xml:space="preserve">CUST4391</t>
  </si>
  <si>
    <t xml:space="preserve">ORD100875</t>
  </si>
  <si>
    <t xml:space="preserve">ORD100876</t>
  </si>
  <si>
    <t xml:space="preserve">CUST7473</t>
  </si>
  <si>
    <t xml:space="preserve">ORD100877</t>
  </si>
  <si>
    <t xml:space="preserve">CUST9104</t>
  </si>
  <si>
    <t xml:space="preserve">ORD100878</t>
  </si>
  <si>
    <t xml:space="preserve">CUST7091</t>
  </si>
  <si>
    <t xml:space="preserve">ORD100879</t>
  </si>
  <si>
    <t xml:space="preserve">CUST1258</t>
  </si>
  <si>
    <t xml:space="preserve">ORD100880</t>
  </si>
  <si>
    <t xml:space="preserve">CUST1691</t>
  </si>
  <si>
    <t xml:space="preserve">ORD100881</t>
  </si>
  <si>
    <t xml:space="preserve">CUST9404</t>
  </si>
  <si>
    <t xml:space="preserve">ORD100882</t>
  </si>
  <si>
    <t xml:space="preserve">ORD100883</t>
  </si>
  <si>
    <t xml:space="preserve">CUST1779</t>
  </si>
  <si>
    <t xml:space="preserve">ORD100884</t>
  </si>
  <si>
    <t xml:space="preserve">CUST4651</t>
  </si>
  <si>
    <t xml:space="preserve">ORD100885</t>
  </si>
  <si>
    <t xml:space="preserve">CUST9027</t>
  </si>
  <si>
    <t xml:space="preserve">Customer_153</t>
  </si>
  <si>
    <t xml:space="preserve">ORD100886</t>
  </si>
  <si>
    <t xml:space="preserve">CUST1396</t>
  </si>
  <si>
    <t xml:space="preserve">Customer_479</t>
  </si>
  <si>
    <t xml:space="preserve">ORD100887</t>
  </si>
  <si>
    <t xml:space="preserve">CUST9132</t>
  </si>
  <si>
    <t xml:space="preserve">Customer_210</t>
  </si>
  <si>
    <t xml:space="preserve">ORD100888</t>
  </si>
  <si>
    <t xml:space="preserve">CUST4926</t>
  </si>
  <si>
    <t xml:space="preserve">ORD100889</t>
  </si>
  <si>
    <t xml:space="preserve">CUST3987</t>
  </si>
  <si>
    <t xml:space="preserve">Customer_126</t>
  </si>
  <si>
    <t xml:space="preserve">ORD100890</t>
  </si>
  <si>
    <t xml:space="preserve">CUST5136</t>
  </si>
  <si>
    <t xml:space="preserve">ORD100891</t>
  </si>
  <si>
    <t xml:space="preserve">CUST8849</t>
  </si>
  <si>
    <t xml:space="preserve">ORD100892</t>
  </si>
  <si>
    <t xml:space="preserve">CUST3603</t>
  </si>
  <si>
    <t xml:space="preserve">ORD100893</t>
  </si>
  <si>
    <t xml:space="preserve">CUST4073</t>
  </si>
  <si>
    <t xml:space="preserve">ORD100894</t>
  </si>
  <si>
    <t xml:space="preserve">CUST7068</t>
  </si>
  <si>
    <t xml:space="preserve">Customer_106</t>
  </si>
  <si>
    <t xml:space="preserve">ORD100895</t>
  </si>
  <si>
    <t xml:space="preserve">CUST5762</t>
  </si>
  <si>
    <t xml:space="preserve">ORD100896</t>
  </si>
  <si>
    <t xml:space="preserve">CUST1611</t>
  </si>
  <si>
    <t xml:space="preserve">ORD100897</t>
  </si>
  <si>
    <t xml:space="preserve">CUST1806</t>
  </si>
  <si>
    <t xml:space="preserve">ORD100898</t>
  </si>
  <si>
    <t xml:space="preserve">CUST4730</t>
  </si>
  <si>
    <t xml:space="preserve">ORD100899</t>
  </si>
  <si>
    <t xml:space="preserve">CUST7164</t>
  </si>
  <si>
    <t xml:space="preserve">ORD100900</t>
  </si>
  <si>
    <t xml:space="preserve">CUST3867</t>
  </si>
  <si>
    <t xml:space="preserve">Customer_54</t>
  </si>
  <si>
    <t xml:space="preserve">ORD100901</t>
  </si>
  <si>
    <t xml:space="preserve">CUST6152</t>
  </si>
  <si>
    <t xml:space="preserve">Customer_438</t>
  </si>
  <si>
    <t xml:space="preserve">ORD100902</t>
  </si>
  <si>
    <t xml:space="preserve">CUST6881</t>
  </si>
  <si>
    <t xml:space="preserve">ORD100903</t>
  </si>
  <si>
    <t xml:space="preserve">CUST3438</t>
  </si>
  <si>
    <t xml:space="preserve">ORD100904</t>
  </si>
  <si>
    <t xml:space="preserve">CUST1890</t>
  </si>
  <si>
    <t xml:space="preserve">ORD100905</t>
  </si>
  <si>
    <t xml:space="preserve">CUST9994</t>
  </si>
  <si>
    <t xml:space="preserve">ORD100906</t>
  </si>
  <si>
    <t xml:space="preserve">CUST1906</t>
  </si>
  <si>
    <t xml:space="preserve">Customer_76</t>
  </si>
  <si>
    <t xml:space="preserve">ORD100907</t>
  </si>
  <si>
    <t xml:space="preserve">CUST4977</t>
  </si>
  <si>
    <t xml:space="preserve">ORD100908</t>
  </si>
  <si>
    <t xml:space="preserve">CUST6241</t>
  </si>
  <si>
    <t xml:space="preserve">ORD100909</t>
  </si>
  <si>
    <t xml:space="preserve">CUST1759</t>
  </si>
  <si>
    <t xml:space="preserve">ORD100910</t>
  </si>
  <si>
    <t xml:space="preserve">CUST4515</t>
  </si>
  <si>
    <t xml:space="preserve">ORD100911</t>
  </si>
  <si>
    <t xml:space="preserve">CUST6309</t>
  </si>
  <si>
    <t xml:space="preserve">ORD100912</t>
  </si>
  <si>
    <t xml:space="preserve">CUST2384</t>
  </si>
  <si>
    <t xml:space="preserve">ORD100913</t>
  </si>
  <si>
    <t xml:space="preserve">CUST5025</t>
  </si>
  <si>
    <t xml:space="preserve">ORD100914</t>
  </si>
  <si>
    <t xml:space="preserve">ORD100915</t>
  </si>
  <si>
    <t xml:space="preserve">CUST1753</t>
  </si>
  <si>
    <t xml:space="preserve">ORD100916</t>
  </si>
  <si>
    <t xml:space="preserve">CUST7186</t>
  </si>
  <si>
    <t xml:space="preserve">ORD100917</t>
  </si>
  <si>
    <t xml:space="preserve">CUST2804</t>
  </si>
  <si>
    <t xml:space="preserve">ORD100918</t>
  </si>
  <si>
    <t xml:space="preserve">CUST1997</t>
  </si>
  <si>
    <t xml:space="preserve">ORD100919</t>
  </si>
  <si>
    <t xml:space="preserve">CUST7609</t>
  </si>
  <si>
    <t xml:space="preserve">ORD100920</t>
  </si>
  <si>
    <t xml:space="preserve">ORD100921</t>
  </si>
  <si>
    <t xml:space="preserve">CUST6414</t>
  </si>
  <si>
    <t xml:space="preserve">ORD100922</t>
  </si>
  <si>
    <t xml:space="preserve">CUST3652</t>
  </si>
  <si>
    <t xml:space="preserve">Customer_436</t>
  </si>
  <si>
    <t xml:space="preserve">ORD100923</t>
  </si>
  <si>
    <t xml:space="preserve">CUST4106</t>
  </si>
  <si>
    <t xml:space="preserve">ORD100924</t>
  </si>
  <si>
    <t xml:space="preserve">CUST7933</t>
  </si>
  <si>
    <t xml:space="preserve">ORD100925</t>
  </si>
  <si>
    <t xml:space="preserve">CUST9299</t>
  </si>
  <si>
    <t xml:space="preserve">ORD100926</t>
  </si>
  <si>
    <t xml:space="preserve">CUST5160</t>
  </si>
  <si>
    <t xml:space="preserve">ORD100927</t>
  </si>
  <si>
    <t xml:space="preserve">CUST2260</t>
  </si>
  <si>
    <t xml:space="preserve">ORD100928</t>
  </si>
  <si>
    <t xml:space="preserve">CUST7676</t>
  </si>
  <si>
    <t xml:space="preserve">Customer_42</t>
  </si>
  <si>
    <t xml:space="preserve">ORD100929</t>
  </si>
  <si>
    <t xml:space="preserve">CUST7405</t>
  </si>
  <si>
    <t xml:space="preserve">ORD100930</t>
  </si>
  <si>
    <t xml:space="preserve">CUST4565</t>
  </si>
  <si>
    <t xml:space="preserve">ORD100931</t>
  </si>
  <si>
    <t xml:space="preserve">CUST6319</t>
  </si>
  <si>
    <t xml:space="preserve">Customer_393</t>
  </si>
  <si>
    <t xml:space="preserve">ORD100932</t>
  </si>
  <si>
    <t xml:space="preserve">CUST4077</t>
  </si>
  <si>
    <t xml:space="preserve">ORD100933</t>
  </si>
  <si>
    <t xml:space="preserve">CUST8537</t>
  </si>
  <si>
    <t xml:space="preserve">ORD100934</t>
  </si>
  <si>
    <t xml:space="preserve">ORD100935</t>
  </si>
  <si>
    <t xml:space="preserve">CUST2025</t>
  </si>
  <si>
    <t xml:space="preserve">Customer_239</t>
  </si>
  <si>
    <t xml:space="preserve">ORD100936</t>
  </si>
  <si>
    <t xml:space="preserve">CUST1122</t>
  </si>
  <si>
    <t xml:space="preserve">Customer_447</t>
  </si>
  <si>
    <t xml:space="preserve">ORD100937</t>
  </si>
  <si>
    <t xml:space="preserve">Customer_437</t>
  </si>
  <si>
    <t xml:space="preserve">ORD100938</t>
  </si>
  <si>
    <t xml:space="preserve">ORD100939</t>
  </si>
  <si>
    <t xml:space="preserve">CUST5413</t>
  </si>
  <si>
    <t xml:space="preserve">ORD100940</t>
  </si>
  <si>
    <t xml:space="preserve">CUST8466</t>
  </si>
  <si>
    <t xml:space="preserve">ORD100941</t>
  </si>
  <si>
    <t xml:space="preserve">CUST9493</t>
  </si>
  <si>
    <t xml:space="preserve">ORD100942</t>
  </si>
  <si>
    <t xml:space="preserve">CUST3576</t>
  </si>
  <si>
    <t xml:space="preserve">ORD100943</t>
  </si>
  <si>
    <t xml:space="preserve">CUST2586</t>
  </si>
  <si>
    <t xml:space="preserve">ORD100944</t>
  </si>
  <si>
    <t xml:space="preserve">CUST3499</t>
  </si>
  <si>
    <t xml:space="preserve">ORD100945</t>
  </si>
  <si>
    <t xml:space="preserve">CUST7718</t>
  </si>
  <si>
    <t xml:space="preserve">ORD100946</t>
  </si>
  <si>
    <t xml:space="preserve">CUST3330</t>
  </si>
  <si>
    <t xml:space="preserve">Customer_450</t>
  </si>
  <si>
    <t xml:space="preserve">ORD100947</t>
  </si>
  <si>
    <t xml:space="preserve">CUST9113</t>
  </si>
  <si>
    <t xml:space="preserve">ORD100948</t>
  </si>
  <si>
    <t xml:space="preserve">CUST1004</t>
  </si>
  <si>
    <t xml:space="preserve">ORD100949</t>
  </si>
  <si>
    <t xml:space="preserve">CUST8381</t>
  </si>
  <si>
    <t xml:space="preserve">Customer_112</t>
  </si>
  <si>
    <t xml:space="preserve">ORD100950</t>
  </si>
  <si>
    <t xml:space="preserve">CUST6316</t>
  </si>
  <si>
    <t xml:space="preserve">ORD100951</t>
  </si>
  <si>
    <t xml:space="preserve">CUST2403</t>
  </si>
  <si>
    <t xml:space="preserve">ORD100952</t>
  </si>
  <si>
    <t xml:space="preserve">CUST1357</t>
  </si>
  <si>
    <t xml:space="preserve">ORD100953</t>
  </si>
  <si>
    <t xml:space="preserve">CUST4337</t>
  </si>
  <si>
    <t xml:space="preserve">ORD100954</t>
  </si>
  <si>
    <t xml:space="preserve">CUST9175</t>
  </si>
  <si>
    <t xml:space="preserve">ORD100955</t>
  </si>
  <si>
    <t xml:space="preserve">CUST7177</t>
  </si>
  <si>
    <t xml:space="preserve">ORD100956</t>
  </si>
  <si>
    <t xml:space="preserve">CUST9009</t>
  </si>
  <si>
    <t xml:space="preserve">Customer_424</t>
  </si>
  <si>
    <t xml:space="preserve">ORD100957</t>
  </si>
  <si>
    <t xml:space="preserve">CUST8996</t>
  </si>
  <si>
    <t xml:space="preserve">ORD100958</t>
  </si>
  <si>
    <t xml:space="preserve">CUST3759</t>
  </si>
  <si>
    <t xml:space="preserve">ORD100959</t>
  </si>
  <si>
    <t xml:space="preserve">ORD100961</t>
  </si>
  <si>
    <t xml:space="preserve">CUST6311</t>
  </si>
  <si>
    <t xml:space="preserve">ORD100962</t>
  </si>
  <si>
    <t xml:space="preserve">CUST8525</t>
  </si>
  <si>
    <t xml:space="preserve">ORD100963</t>
  </si>
  <si>
    <t xml:space="preserve">CUST9285</t>
  </si>
  <si>
    <t xml:space="preserve">ORD100964</t>
  </si>
  <si>
    <t xml:space="preserve">CUST8387</t>
  </si>
  <si>
    <t xml:space="preserve">ORD100965</t>
  </si>
  <si>
    <t xml:space="preserve">CUST5726</t>
  </si>
  <si>
    <t xml:space="preserve">ORD100966</t>
  </si>
  <si>
    <t xml:space="preserve">CUST7238</t>
  </si>
  <si>
    <t xml:space="preserve">ORD100967</t>
  </si>
  <si>
    <t xml:space="preserve">CUST3843</t>
  </si>
  <si>
    <t xml:space="preserve">ORD100968</t>
  </si>
  <si>
    <t xml:space="preserve">CUST7185</t>
  </si>
  <si>
    <t xml:space="preserve">Customer_285</t>
  </si>
  <si>
    <t xml:space="preserve">ORD100969</t>
  </si>
  <si>
    <t xml:space="preserve">CUST7757</t>
  </si>
  <si>
    <t xml:space="preserve">ORD100970</t>
  </si>
  <si>
    <t xml:space="preserve">CUST1713</t>
  </si>
  <si>
    <t xml:space="preserve">ORD100971</t>
  </si>
  <si>
    <t xml:space="preserve">CUST6987</t>
  </si>
  <si>
    <t xml:space="preserve">ORD100972</t>
  </si>
  <si>
    <t xml:space="preserve">CUST5829</t>
  </si>
  <si>
    <t xml:space="preserve">Customer_37</t>
  </si>
  <si>
    <t xml:space="preserve">ORD100973</t>
  </si>
  <si>
    <t xml:space="preserve">CUST2542</t>
  </si>
  <si>
    <t xml:space="preserve">ORD100974</t>
  </si>
  <si>
    <t xml:space="preserve">CUST4869</t>
  </si>
  <si>
    <t xml:space="preserve">ORD100975</t>
  </si>
  <si>
    <t xml:space="preserve">ORD100976</t>
  </si>
  <si>
    <t xml:space="preserve">CUST5338</t>
  </si>
  <si>
    <t xml:space="preserve">ORD100977</t>
  </si>
  <si>
    <t xml:space="preserve">CUST5373</t>
  </si>
  <si>
    <t xml:space="preserve">ORD100978</t>
  </si>
  <si>
    <t xml:space="preserve">CUST2256</t>
  </si>
  <si>
    <t xml:space="preserve">ORD100979</t>
  </si>
  <si>
    <t xml:space="preserve">CUST7388</t>
  </si>
  <si>
    <t xml:space="preserve">ORD100980</t>
  </si>
  <si>
    <t xml:space="preserve">CUST1159</t>
  </si>
  <si>
    <t xml:space="preserve">ORD100981</t>
  </si>
  <si>
    <t xml:space="preserve">ORD100982</t>
  </si>
  <si>
    <t xml:space="preserve">CUST4003</t>
  </si>
  <si>
    <t xml:space="preserve">Customer_305</t>
  </si>
  <si>
    <t xml:space="preserve">ORD100983</t>
  </si>
  <si>
    <t xml:space="preserve">CUST6511</t>
  </si>
  <si>
    <t xml:space="preserve">ORD100984</t>
  </si>
  <si>
    <t xml:space="preserve">CUST2836</t>
  </si>
  <si>
    <t xml:space="preserve">ORD100985</t>
  </si>
  <si>
    <t xml:space="preserve">ORD100986</t>
  </si>
  <si>
    <t xml:space="preserve">CUST9945</t>
  </si>
  <si>
    <t xml:space="preserve">ORD100987</t>
  </si>
  <si>
    <t xml:space="preserve">CUST1603</t>
  </si>
  <si>
    <t xml:space="preserve">ORD100988</t>
  </si>
  <si>
    <t xml:space="preserve">CUST9871</t>
  </si>
  <si>
    <t xml:space="preserve">ORD100989</t>
  </si>
  <si>
    <t xml:space="preserve">CUST2418</t>
  </si>
  <si>
    <t xml:space="preserve">Customer_425</t>
  </si>
  <si>
    <t xml:space="preserve">ORD100990</t>
  </si>
  <si>
    <t xml:space="preserve">CUST2126</t>
  </si>
  <si>
    <t xml:space="preserve">ORD100991</t>
  </si>
  <si>
    <t xml:space="preserve">CUST1284</t>
  </si>
  <si>
    <t xml:space="preserve">ORD100992</t>
  </si>
  <si>
    <t xml:space="preserve">CUST6389</t>
  </si>
  <si>
    <t xml:space="preserve">ORD100993</t>
  </si>
  <si>
    <t xml:space="preserve">ORD100994</t>
  </si>
  <si>
    <t xml:space="preserve">CUST2967</t>
  </si>
  <si>
    <t xml:space="preserve">Customer_483</t>
  </si>
  <si>
    <t xml:space="preserve">ORD100995</t>
  </si>
  <si>
    <t xml:space="preserve">CUST9092</t>
  </si>
  <si>
    <t xml:space="preserve">ORD100996</t>
  </si>
  <si>
    <t xml:space="preserve">CUST9351</t>
  </si>
  <si>
    <t xml:space="preserve">ORD100997</t>
  </si>
  <si>
    <t xml:space="preserve">CUST6410</t>
  </si>
  <si>
    <t xml:space="preserve">ORD100998</t>
  </si>
  <si>
    <t xml:space="preserve">CUST7618</t>
  </si>
  <si>
    <t xml:space="preserve">ORD100999</t>
  </si>
  <si>
    <t xml:space="preserve">CUST9544</t>
  </si>
  <si>
    <t xml:space="preserve">ORD101000</t>
  </si>
  <si>
    <t xml:space="preserve">CUST9501</t>
  </si>
  <si>
    <t xml:space="preserve">ORD101001</t>
  </si>
  <si>
    <t xml:space="preserve">CUST2714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</si>
</sst>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₹#,##0.00&quot; Cr&quot;"/>
    <numFmt numFmtId="166" formatCode="#,##0"/>
    <numFmt numFmtId="167" formatCode="[&gt;=10000000]\₹##\,##\,##\,##0;[&gt;=100000]\₹##\,##\,##0;\₹#,##0"/>
    <numFmt numFmtId="168" formatCode="0.0%"/>
    <numFmt numFmtId="169" formatCode="\+0.0%;\-0.0%;0.0%"/>
    <numFmt numFmtId="170" formatCode="#,##0.0"/>
    <numFmt numFmtId="171" formatCode="@"/>
    <numFmt numFmtId="172" formatCode="0.0"/>
    <numFmt numFmtId="173" formatCode="mmm\-yy"/>
    <numFmt numFmtId="174" formatCode="yyyy\-mm\-dd"/>
    <numFmt numFmtId="175" formatCode="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2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55A11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7E6E6"/>
      </patternFill>
    </fill>
    <fill>
      <patternFill patternType="solid">
        <fgColor rgb="FFFBE5D6"/>
        <bgColor rgb="FFE7E6E6"/>
      </patternFill>
    </fill>
    <fill>
      <patternFill patternType="solid">
        <fgColor rgb="FFDDEBF7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00A3A1"/>
        <bgColor rgb="FF008080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E75B6"/>
      </bottom>
      <diagonal/>
    </border>
    <border diagonalUp="false" diagonalDown="false">
      <left style="thick">
        <color rgb="FF2E75B6"/>
      </left>
      <right style="thin">
        <color rgb="FFD9D9D9"/>
      </right>
      <top style="thin">
        <color rgb="FFD9D9D9"/>
      </top>
      <bottom/>
      <diagonal/>
    </border>
    <border diagonalUp="false" diagonalDown="false">
      <left style="thick">
        <color rgb="FF2E75B6"/>
      </left>
      <right style="thin">
        <color rgb="FFD9D9D9"/>
      </right>
      <top/>
      <bottom/>
      <diagonal/>
    </border>
    <border diagonalUp="false" diagonalDown="false">
      <left style="thick">
        <color rgb="FF2E75B6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thick">
        <color rgb="FF00A3A1"/>
      </left>
      <right style="thin">
        <color rgb="FFD9D9D9"/>
      </right>
      <top style="thin">
        <color rgb="FFD9D9D9"/>
      </top>
      <bottom/>
      <diagonal/>
    </border>
    <border diagonalUp="false" diagonalDown="false">
      <left style="thick">
        <color rgb="FF00A3A1"/>
      </left>
      <right style="thin">
        <color rgb="FFD9D9D9"/>
      </right>
      <top/>
      <bottom/>
      <diagonal/>
    </border>
    <border diagonalUp="false" diagonalDown="false">
      <left style="thick">
        <color rgb="FF00A3A1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8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8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5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6" fontId="8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8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8" fillId="3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7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4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A3A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A3A1"/>
      <rgbColor rgb="FFC0C0C0"/>
      <rgbColor rgb="FF878787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FFF99"/>
      <rgbColor rgb="FF99CCFF"/>
      <rgbColor rgb="FFFF99CC"/>
      <rgbColor rgb="FFCC99FF"/>
      <rgbColor rgb="FFFBE5D6"/>
      <rgbColor rgb="FF2E75B6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Revenue, 2025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Calc!C37</c:f>
              <c:strCache>
                <c:ptCount val="1"/>
                <c:pt idx="0">
                  <c:v>Revenue (₹ Lakh)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Calc!$B$38:$B$49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Calc!$C$38:$C$49</c:f>
              <c:numCache>
                <c:formatCode>#,##0.0</c:formatCode>
                <c:ptCount val="12"/>
                <c:pt idx="0">
                  <c:v>100.9619073</c:v>
                </c:pt>
                <c:pt idx="1">
                  <c:v>115.1118146</c:v>
                </c:pt>
                <c:pt idx="2">
                  <c:v>130.5989994</c:v>
                </c:pt>
                <c:pt idx="3">
                  <c:v>122.2270017</c:v>
                </c:pt>
                <c:pt idx="4">
                  <c:v>109.8468925</c:v>
                </c:pt>
                <c:pt idx="5">
                  <c:v>129.1233264</c:v>
                </c:pt>
                <c:pt idx="6">
                  <c:v>117.462268</c:v>
                </c:pt>
                <c:pt idx="7">
                  <c:v>94.4847122</c:v>
                </c:pt>
                <c:pt idx="8">
                  <c:v>91.7989629</c:v>
                </c:pt>
                <c:pt idx="9">
                  <c:v>125.009365</c:v>
                </c:pt>
                <c:pt idx="10">
                  <c:v>126.2762022</c:v>
                </c:pt>
                <c:pt idx="11">
                  <c:v>122.9990444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8510804"/>
        <c:axId val="63483996"/>
      </c:lineChart>
      <c:catAx>
        <c:axId val="185108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483996"/>
        <c:crosses val="autoZero"/>
        <c:auto val="1"/>
        <c:lblAlgn val="ctr"/>
        <c:lblOffset val="100"/>
        <c:noMultiLvlLbl val="0"/>
      </c:catAx>
      <c:valAx>
        <c:axId val="6348399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5108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Calc!B57</c:f>
              <c:strCache>
                <c:ptCount val="1"/>
                <c:pt idx="0">
                  <c:v>Revenue (₹ Lakh)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numFmt formatCode="#,##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Calc!$A$58:$A$62</c:f>
              <c:strCache>
                <c:ptCount val="5"/>
                <c:pt idx="0">
                  <c:v>Electronics</c:v>
                </c:pt>
                <c:pt idx="1">
                  <c:v>Education</c:v>
                </c:pt>
                <c:pt idx="2">
                  <c:v>Grocery</c:v>
                </c:pt>
                <c:pt idx="3">
                  <c:v>Furniture</c:v>
                </c:pt>
                <c:pt idx="4">
                  <c:v>Fashion</c:v>
                </c:pt>
              </c:strCache>
            </c:strRef>
          </c:cat>
          <c:val>
            <c:numRef>
              <c:f>Calc!$B$58:$B$62</c:f>
              <c:numCache>
                <c:formatCode>#,##0.0</c:formatCode>
                <c:ptCount val="5"/>
                <c:pt idx="0">
                  <c:v>507.785817</c:v>
                </c:pt>
                <c:pt idx="1">
                  <c:v>250.316894</c:v>
                </c:pt>
                <c:pt idx="2">
                  <c:v>222.3171128</c:v>
                </c:pt>
                <c:pt idx="3">
                  <c:v>215.2156148</c:v>
                </c:pt>
                <c:pt idx="4">
                  <c:v>198.3589579</c:v>
                </c:pt>
              </c:numCache>
            </c:numRef>
          </c:val>
        </c:ser>
        <c:gapWidth val="60"/>
        <c:overlap val="0"/>
        <c:axId val="85664057"/>
        <c:axId val="6242420"/>
      </c:barChart>
      <c:catAx>
        <c:axId val="8566405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2420"/>
        <c:crosses val="autoZero"/>
        <c:auto val="1"/>
        <c:lblAlgn val="ctr"/>
        <c:lblOffset val="100"/>
        <c:noMultiLvlLbl val="0"/>
      </c:catAx>
      <c:valAx>
        <c:axId val="6242420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64057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City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Calc!B78</c:f>
              <c:strCache>
                <c:ptCount val="1"/>
                <c:pt idx="0">
                  <c:v>Revenue (₹ Lakh)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numFmt formatCode="#,##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Calc!$A$79:$A$87</c:f>
              <c:strCache>
                <c:ptCount val="9"/>
                <c:pt idx="0">
                  <c:v>Patna</c:v>
                </c:pt>
                <c:pt idx="1">
                  <c:v>Kolkata</c:v>
                </c:pt>
                <c:pt idx="2">
                  <c:v>Bengaluru</c:v>
                </c:pt>
                <c:pt idx="3">
                  <c:v>Mumbai</c:v>
                </c:pt>
                <c:pt idx="4">
                  <c:v>Hyderabad</c:v>
                </c:pt>
                <c:pt idx="5">
                  <c:v>Delhi</c:v>
                </c:pt>
                <c:pt idx="6">
                  <c:v>Pune</c:v>
                </c:pt>
                <c:pt idx="7">
                  <c:v>Gaya</c:v>
                </c:pt>
                <c:pt idx="8">
                  <c:v>Unknown</c:v>
                </c:pt>
              </c:strCache>
            </c:strRef>
          </c:cat>
          <c:val>
            <c:numRef>
              <c:f>Calc!$B$79:$B$87</c:f>
              <c:numCache>
                <c:formatCode>#,##0.0</c:formatCode>
                <c:ptCount val="9"/>
                <c:pt idx="0">
                  <c:v>192.8596689</c:v>
                </c:pt>
                <c:pt idx="1">
                  <c:v>188.8434957</c:v>
                </c:pt>
                <c:pt idx="2">
                  <c:v>187.7357432</c:v>
                </c:pt>
                <c:pt idx="3">
                  <c:v>187.5705017</c:v>
                </c:pt>
                <c:pt idx="4">
                  <c:v>171.6676687</c:v>
                </c:pt>
                <c:pt idx="5">
                  <c:v>160.97079</c:v>
                </c:pt>
                <c:pt idx="6">
                  <c:v>145.131759</c:v>
                </c:pt>
                <c:pt idx="7">
                  <c:v>143.8085939</c:v>
                </c:pt>
                <c:pt idx="8">
                  <c:v>15.4061754</c:v>
                </c:pt>
              </c:numCache>
            </c:numRef>
          </c:val>
        </c:ser>
        <c:gapWidth val="60"/>
        <c:overlap val="0"/>
        <c:axId val="10169117"/>
        <c:axId val="42038710"/>
      </c:barChart>
      <c:catAx>
        <c:axId val="1016911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38710"/>
        <c:crosses val="autoZero"/>
        <c:auto val="1"/>
        <c:lblAlgn val="ctr"/>
        <c:lblOffset val="100"/>
        <c:noMultiLvlLbl val="0"/>
      </c:catAx>
      <c:valAx>
        <c:axId val="42038710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69117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Calc!B67</c:f>
              <c:strCache>
                <c:ptCount val="1"/>
                <c:pt idx="0">
                  <c:v>Revenue (₹ Lakh)</c:v>
                </c:pt>
              </c:strCache>
            </c:strRef>
          </c:tx>
          <c:spPr>
            <a:solidFill>
              <a:srgbClr val="00a3a1"/>
            </a:solidFill>
            <a:ln w="0">
              <a:solidFill>
                <a:srgbClr val="00a3a1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Calc!$A$68:$A$73</c:f>
              <c:strCache>
                <c:ptCount val="6"/>
                <c:pt idx="0">
                  <c:v>Laptop</c:v>
                </c:pt>
                <c:pt idx="1">
                  <c:v>Mobile</c:v>
                </c:pt>
                <c:pt idx="2">
                  <c:v>Book</c:v>
                </c:pt>
                <c:pt idx="3">
                  <c:v>Rice</c:v>
                </c:pt>
                <c:pt idx="4">
                  <c:v>Chair</c:v>
                </c:pt>
                <c:pt idx="5">
                  <c:v>Shoes</c:v>
                </c:pt>
              </c:strCache>
            </c:strRef>
          </c:cat>
          <c:val>
            <c:numRef>
              <c:f>Calc!$B$68:$B$73</c:f>
              <c:numCache>
                <c:formatCode>#,##0.0</c:formatCode>
                <c:ptCount val="6"/>
                <c:pt idx="0">
                  <c:v>254.4300851</c:v>
                </c:pt>
                <c:pt idx="1">
                  <c:v>253.3557319</c:v>
                </c:pt>
                <c:pt idx="2">
                  <c:v>250.316894</c:v>
                </c:pt>
                <c:pt idx="3">
                  <c:v>222.3171128</c:v>
                </c:pt>
                <c:pt idx="4">
                  <c:v>215.2156148</c:v>
                </c:pt>
                <c:pt idx="5">
                  <c:v>198.3589579</c:v>
                </c:pt>
              </c:numCache>
            </c:numRef>
          </c:val>
        </c:ser>
        <c:gapWidth val="60"/>
        <c:overlap val="0"/>
        <c:axId val="84257771"/>
        <c:axId val="99804949"/>
      </c:barChart>
      <c:catAx>
        <c:axId val="842577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04949"/>
        <c:crosses val="autoZero"/>
        <c:auto val="1"/>
        <c:lblAlgn val="ctr"/>
        <c:lblOffset val="100"/>
        <c:noMultiLvlLbl val="0"/>
      </c:catAx>
      <c:valAx>
        <c:axId val="99804949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577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Age Group (₹ Lakh)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Calc!B92</c:f>
              <c:strCache>
                <c:ptCount val="1"/>
                <c:pt idx="0">
                  <c:v>Revenue (₹ Lakh)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Calc!$A$93:$A$98</c:f>
              <c:strCache>
                <c:ptCount val="6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  <c:pt idx="5">
                  <c:v>Unknown</c:v>
                </c:pt>
              </c:strCache>
            </c:strRef>
          </c:cat>
          <c:val>
            <c:numRef>
              <c:f>Calc!$B$93:$B$98</c:f>
              <c:numCache>
                <c:formatCode>#,##0.0</c:formatCode>
                <c:ptCount val="6"/>
                <c:pt idx="0">
                  <c:v>222.8409694</c:v>
                </c:pt>
                <c:pt idx="1">
                  <c:v>296.3233696</c:v>
                </c:pt>
                <c:pt idx="2">
                  <c:v>280.4464924</c:v>
                </c:pt>
                <c:pt idx="3">
                  <c:v>282.1650863</c:v>
                </c:pt>
                <c:pt idx="4">
                  <c:v>277.3325141</c:v>
                </c:pt>
                <c:pt idx="5">
                  <c:v>34.8859647</c:v>
                </c:pt>
              </c:numCache>
            </c:numRef>
          </c:val>
        </c:ser>
        <c:gapWidth val="60"/>
        <c:overlap val="0"/>
        <c:axId val="66828060"/>
        <c:axId val="42317187"/>
      </c:barChart>
      <c:catAx>
        <c:axId val="668280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17187"/>
        <c:crosses val="autoZero"/>
        <c:auto val="1"/>
        <c:lblAlgn val="ctr"/>
        <c:lblOffset val="100"/>
        <c:noMultiLvlLbl val="0"/>
      </c:catAx>
      <c:valAx>
        <c:axId val="42317187"/>
        <c:scaling>
          <c:orientation val="minMax"/>
        </c:scaling>
        <c:delete val="0"/>
        <c:axPos val="l"/>
        <c:majorGridlines>
          <c:spPr>
            <a:ln w="9360">
              <a:solidFill>
                <a:srgbClr val="e7e6e6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82806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Split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Calc!B103</c:f>
              <c:strCache>
                <c:ptCount val="1"/>
                <c:pt idx="0">
                  <c:v>Revenue (₹ Lakh)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3864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a3a1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Calc!$A$104:$A$105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Calc!$B$104:$B$105</c:f>
              <c:numCache>
                <c:formatCode>#,##0.0</c:formatCode>
                <c:ptCount val="2"/>
                <c:pt idx="0">
                  <c:v>724.6355063</c:v>
                </c:pt>
                <c:pt idx="1">
                  <c:v>669.3588902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6</xdr:col>
      <xdr:colOff>933840</xdr:colOff>
      <xdr:row>27</xdr:row>
      <xdr:rowOff>68760</xdr:rowOff>
    </xdr:to>
    <xdr:graphicFrame>
      <xdr:nvGraphicFramePr>
        <xdr:cNvPr id="0" name="Chart 1"/>
        <xdr:cNvGraphicFramePr/>
      </xdr:nvGraphicFramePr>
      <xdr:xfrm>
        <a:off x="141120" y="3486240"/>
        <a:ext cx="586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13</xdr:row>
      <xdr:rowOff>0</xdr:rowOff>
    </xdr:from>
    <xdr:to>
      <xdr:col>12</xdr:col>
      <xdr:colOff>933480</xdr:colOff>
      <xdr:row>27</xdr:row>
      <xdr:rowOff>68760</xdr:rowOff>
    </xdr:to>
    <xdr:graphicFrame>
      <xdr:nvGraphicFramePr>
        <xdr:cNvPr id="1" name="Chart 2"/>
        <xdr:cNvGraphicFramePr/>
      </xdr:nvGraphicFramePr>
      <xdr:xfrm>
        <a:off x="6061680" y="3486240"/>
        <a:ext cx="586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6</xdr:col>
      <xdr:colOff>933840</xdr:colOff>
      <xdr:row>43</xdr:row>
      <xdr:rowOff>68400</xdr:rowOff>
    </xdr:to>
    <xdr:graphicFrame>
      <xdr:nvGraphicFramePr>
        <xdr:cNvPr id="2" name="Chart 3"/>
        <xdr:cNvGraphicFramePr/>
      </xdr:nvGraphicFramePr>
      <xdr:xfrm>
        <a:off x="141120" y="6534000"/>
        <a:ext cx="586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29</xdr:row>
      <xdr:rowOff>0</xdr:rowOff>
    </xdr:from>
    <xdr:to>
      <xdr:col>12</xdr:col>
      <xdr:colOff>933480</xdr:colOff>
      <xdr:row>43</xdr:row>
      <xdr:rowOff>68400</xdr:rowOff>
    </xdr:to>
    <xdr:graphicFrame>
      <xdr:nvGraphicFramePr>
        <xdr:cNvPr id="3" name="Chart 4"/>
        <xdr:cNvGraphicFramePr/>
      </xdr:nvGraphicFramePr>
      <xdr:xfrm>
        <a:off x="6061680" y="6534000"/>
        <a:ext cx="586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45</xdr:row>
      <xdr:rowOff>0</xdr:rowOff>
    </xdr:from>
    <xdr:to>
      <xdr:col>6</xdr:col>
      <xdr:colOff>933840</xdr:colOff>
      <xdr:row>59</xdr:row>
      <xdr:rowOff>68760</xdr:rowOff>
    </xdr:to>
    <xdr:graphicFrame>
      <xdr:nvGraphicFramePr>
        <xdr:cNvPr id="4" name="Chart 5"/>
        <xdr:cNvGraphicFramePr/>
      </xdr:nvGraphicFramePr>
      <xdr:xfrm>
        <a:off x="141120" y="9582120"/>
        <a:ext cx="586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45</xdr:row>
      <xdr:rowOff>0</xdr:rowOff>
    </xdr:from>
    <xdr:to>
      <xdr:col>12</xdr:col>
      <xdr:colOff>933480</xdr:colOff>
      <xdr:row>59</xdr:row>
      <xdr:rowOff>68760</xdr:rowOff>
    </xdr:to>
    <xdr:graphicFrame>
      <xdr:nvGraphicFramePr>
        <xdr:cNvPr id="5" name="Chart 6"/>
        <xdr:cNvGraphicFramePr/>
      </xdr:nvGraphicFramePr>
      <xdr:xfrm>
        <a:off x="6061680" y="9582120"/>
        <a:ext cx="5867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M72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4"/>
    <col collapsed="false" customWidth="true" hidden="false" outlineLevel="0" max="14" min="14" style="0" width="2"/>
  </cols>
  <sheetData>
    <row r="1" customFormat="false" ht="21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tr">
        <f aca="false">"Data period: "&amp;TEXT(MIN(Data!$B$2:$B$1001),"dd mmm yyyy")&amp;" to "&amp;TEXT(MAX(Data!$B$2:$B$1001),"dd mmm yyyy")&amp;"   |   "&amp;TEXT(Calc!$B$8,"#,##0")&amp;" orders   |   Currency assumed INR   |   Source: Sales_Dataset"</f>
        <v>Data period: 01 Jan 2025 to 01 Jan 2026   |   1,000 orders   |   Currency assumed INR   |   Source: Sales_Dataset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9.5" hidden="false" customHeight="true" outlineLevel="0" collapsed="false">
      <c r="B4" s="3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8" hidden="false" customHeight="true" outlineLevel="0" collapsed="false">
      <c r="B5" s="4" t="s">
        <v>2</v>
      </c>
      <c r="C5" s="4"/>
      <c r="D5" s="4"/>
      <c r="E5" s="4" t="s">
        <v>3</v>
      </c>
      <c r="F5" s="4"/>
      <c r="G5" s="4"/>
      <c r="H5" s="4" t="s">
        <v>4</v>
      </c>
      <c r="I5" s="4"/>
      <c r="J5" s="4"/>
      <c r="K5" s="4" t="s">
        <v>5</v>
      </c>
      <c r="L5" s="4"/>
      <c r="M5" s="4"/>
    </row>
    <row r="6" customFormat="false" ht="37.5" hidden="false" customHeight="true" outlineLevel="0" collapsed="false">
      <c r="B6" s="5" t="n">
        <f aca="false">Calc!$B$7/Calc!$B$4</f>
        <v>13.939943965</v>
      </c>
      <c r="C6" s="5"/>
      <c r="D6" s="5"/>
      <c r="E6" s="6" t="n">
        <f aca="false">Calc!$B$8</f>
        <v>1000</v>
      </c>
      <c r="F6" s="6"/>
      <c r="G6" s="6"/>
      <c r="H6" s="7" t="n">
        <f aca="false">Calc!$B$9</f>
        <v>139399.43965</v>
      </c>
      <c r="I6" s="7"/>
      <c r="J6" s="7"/>
      <c r="K6" s="6" t="n">
        <f aca="false">Calc!$B$10</f>
        <v>5435</v>
      </c>
      <c r="L6" s="6"/>
      <c r="M6" s="6"/>
    </row>
    <row r="7" customFormat="false" ht="18" hidden="false" customHeight="true" outlineLevel="0" collapsed="false">
      <c r="B7" s="8" t="str">
        <f aca="false">"Sum of Total_Sales"</f>
        <v>Sum of Total_Sales</v>
      </c>
      <c r="C7" s="8"/>
      <c r="D7" s="8"/>
      <c r="E7" s="8" t="str">
        <f aca="false">"Avg "&amp;TEXT(Calc!$B$11,"0.0")&amp;" units per order"</f>
        <v>Avg 5.4 units per order</v>
      </c>
      <c r="F7" s="8"/>
      <c r="G7" s="8"/>
      <c r="H7" s="8" t="str">
        <f aca="false">"Revenue ÷ orders"</f>
        <v>Revenue ÷ orders</v>
      </c>
      <c r="I7" s="8"/>
      <c r="J7" s="8"/>
      <c r="K7" s="8" t="str">
        <f aca="false">"Across "&amp;TEXT(COUNTA(Data!$H$2:$H$1001)-COUNTBLANK(Data!$H$2:$H$1001),"#,##0")&amp;" order lines"</f>
        <v>Across 1,000 order lines</v>
      </c>
      <c r="L7" s="8"/>
      <c r="M7" s="8"/>
    </row>
    <row r="9" customFormat="false" ht="18" hidden="false" customHeight="true" outlineLevel="0" collapsed="false">
      <c r="B9" s="9" t="s">
        <v>6</v>
      </c>
      <c r="C9" s="9"/>
      <c r="D9" s="9"/>
      <c r="E9" s="9" t="s">
        <v>7</v>
      </c>
      <c r="F9" s="9"/>
      <c r="G9" s="9"/>
      <c r="H9" s="9" t="s">
        <v>8</v>
      </c>
      <c r="I9" s="9"/>
      <c r="J9" s="9"/>
      <c r="K9" s="9" t="s">
        <v>9</v>
      </c>
      <c r="L9" s="9"/>
      <c r="M9" s="9"/>
    </row>
    <row r="10" customFormat="false" ht="37.5" hidden="false" customHeight="true" outlineLevel="0" collapsed="false">
      <c r="B10" s="10" t="n">
        <f aca="false">Calc!$B$12</f>
        <v>947</v>
      </c>
      <c r="C10" s="10"/>
      <c r="D10" s="10"/>
      <c r="E10" s="11" t="n">
        <f aca="false">Calc!$B$14</f>
        <v>0.0549102428722281</v>
      </c>
      <c r="F10" s="11"/>
      <c r="G10" s="11"/>
      <c r="H10" s="12" t="n">
        <f aca="false">Calc!$B$18</f>
        <v>-0.0259522993478182</v>
      </c>
      <c r="I10" s="12"/>
      <c r="J10" s="12"/>
      <c r="K10" s="11" t="n">
        <f aca="false">Calc!$B$21</f>
        <v>0.364266756218629</v>
      </c>
      <c r="L10" s="11"/>
      <c r="M10" s="11"/>
    </row>
    <row r="11" customFormat="false" ht="18" hidden="false" customHeight="true" outlineLevel="0" collapsed="false">
      <c r="B11" s="13" t="str">
        <f aca="false">"Avg ₹"&amp;TEXT(Calc!$B$15/100000,"0.00")&amp;" lakh revenue per customer"</f>
        <v>Avg ₹1.47 lakh revenue per customer</v>
      </c>
      <c r="C11" s="13"/>
      <c r="D11" s="13"/>
      <c r="E11" s="13" t="str">
        <f aca="false">TEXT(Calc!$B$13,"0")&amp;" of "&amp;TEXT(Calc!$B$12,"0")&amp;" customers ordered 2+ times"</f>
        <v>52 of 947 customers ordered 2+ times</v>
      </c>
      <c r="F11" s="13"/>
      <c r="G11" s="13"/>
      <c r="H11" s="13" t="str">
        <f aca="false">TEXT(Calc!A49,"mmm-yy")&amp;" vs "&amp;TEXT(Calc!A48,"mmm-yy")&amp;" (last full month)"</f>
        <v>Dec-25 vs Nov-25 (last full month)</v>
      </c>
      <c r="I11" s="13"/>
      <c r="J11" s="13"/>
      <c r="K11" s="13" t="str">
        <f aca="false">Calc!$B$22&amp;" share of total revenue"</f>
        <v>Electronics share of total revenue</v>
      </c>
      <c r="L11" s="13"/>
      <c r="M11" s="13"/>
    </row>
    <row r="13" customFormat="false" ht="19.5" hidden="false" customHeight="true" outlineLevel="0" collapsed="false"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62" customFormat="false" ht="19.5" hidden="false" customHeight="true" outlineLevel="0" collapsed="false">
      <c r="B62" s="3" t="s">
        <v>11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customFormat="false" ht="30" hidden="false" customHeight="true" outlineLevel="0" collapsed="false">
      <c r="B63" s="14" t="s">
        <v>12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customFormat="false" ht="30" hidden="false" customHeight="true" outlineLevel="0" collapsed="false">
      <c r="B64" s="14" t="s">
        <v>13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customFormat="false" ht="30" hidden="false" customHeight="true" outlineLevel="0" collapsed="false">
      <c r="B65" s="14" t="s">
        <v>14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customFormat="false" ht="30" hidden="false" customHeight="true" outlineLevel="0" collapsed="false">
      <c r="B66" s="14" t="s">
        <v>15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8" customFormat="false" ht="19.5" hidden="false" customHeight="true" outlineLevel="0" collapsed="false">
      <c r="B68" s="3" t="s">
        <v>16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customFormat="false" ht="15" hidden="false" customHeight="false" outlineLevel="0" collapsed="false">
      <c r="B69" s="15" t="s">
        <v>17</v>
      </c>
      <c r="C69" s="15"/>
      <c r="D69" s="15"/>
      <c r="E69" s="15" t="s">
        <v>18</v>
      </c>
      <c r="F69" s="15"/>
      <c r="G69" s="15"/>
      <c r="H69" s="15" t="s">
        <v>19</v>
      </c>
      <c r="I69" s="15"/>
      <c r="J69" s="15"/>
      <c r="K69" s="15" t="s">
        <v>20</v>
      </c>
      <c r="L69" s="15"/>
      <c r="M69" s="15"/>
    </row>
    <row r="70" customFormat="false" ht="15" hidden="false" customHeight="false" outlineLevel="0" collapsed="false">
      <c r="B70" s="16" t="str">
        <f aca="false">TEXT(Calc!$B$27,"0")&amp;" rows ("&amp;TEXT(Calc!$B$28,"0.0%")&amp;")"</f>
        <v>13 rows (1.3%)</v>
      </c>
      <c r="C70" s="16"/>
      <c r="D70" s="16"/>
      <c r="E70" s="16" t="str">
        <f aca="false">TEXT(Calc!$B$25,"0")&amp;" rows ("&amp;TEXT(Calc!$B$26,"0.0%")&amp;")"</f>
        <v>20 rows (2.0%)</v>
      </c>
      <c r="F70" s="16"/>
      <c r="G70" s="16"/>
      <c r="H70" s="16" t="str">
        <f aca="false">TEXT(Calc!$B$24,"0")&amp;" duplicate-ID rows"</f>
        <v>8 duplicate-ID rows</v>
      </c>
      <c r="I70" s="16"/>
      <c r="J70" s="16"/>
      <c r="K70" s="16" t="str">
        <f aca="false">TEXT(Calc!$B$30,"0")&amp;" orders (excluded from trend)"</f>
        <v>5 orders (excluded from trend)</v>
      </c>
      <c r="L70" s="16"/>
      <c r="M70" s="16"/>
    </row>
    <row r="72" customFormat="false" ht="25.5" hidden="false" customHeight="true" outlineLevel="0" collapsed="false">
      <c r="B72" s="17" t="s">
        <v>21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</row>
  </sheetData>
  <mergeCells count="43">
    <mergeCell ref="B1:M2"/>
    <mergeCell ref="B3:M3"/>
    <mergeCell ref="B4:M4"/>
    <mergeCell ref="B5:D5"/>
    <mergeCell ref="E5:G5"/>
    <mergeCell ref="H5:J5"/>
    <mergeCell ref="K5:M5"/>
    <mergeCell ref="B6:D6"/>
    <mergeCell ref="E6:G6"/>
    <mergeCell ref="H6:J6"/>
    <mergeCell ref="K6:M6"/>
    <mergeCell ref="B7:D7"/>
    <mergeCell ref="E7:G7"/>
    <mergeCell ref="H7:J7"/>
    <mergeCell ref="K7:M7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M13"/>
    <mergeCell ref="B62:M62"/>
    <mergeCell ref="B63:M63"/>
    <mergeCell ref="B64:M64"/>
    <mergeCell ref="B65:M65"/>
    <mergeCell ref="B66:M66"/>
    <mergeCell ref="B68:M68"/>
    <mergeCell ref="B69:D69"/>
    <mergeCell ref="E69:G69"/>
    <mergeCell ref="H69:J69"/>
    <mergeCell ref="K69:M69"/>
    <mergeCell ref="B70:D70"/>
    <mergeCell ref="E70:G70"/>
    <mergeCell ref="H70:J70"/>
    <mergeCell ref="K70:M70"/>
    <mergeCell ref="B72:M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58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30"/>
  </cols>
  <sheetData>
    <row r="1" customFormat="false" ht="19.7" hidden="false" customHeight="false" outlineLevel="0" collapsed="false">
      <c r="A1" s="18" t="s">
        <v>22</v>
      </c>
    </row>
    <row r="2" customFormat="false" ht="15" hidden="false" customHeight="false" outlineLevel="0" collapsed="false">
      <c r="A2" s="19" t="s">
        <v>23</v>
      </c>
    </row>
    <row r="4" customFormat="false" ht="30" hidden="false" customHeight="true" outlineLevel="0" collapsed="false">
      <c r="A4" s="20" t="s">
        <v>24</v>
      </c>
      <c r="B4" s="20" t="s">
        <v>25</v>
      </c>
      <c r="C4" s="20" t="s">
        <v>26</v>
      </c>
      <c r="D4" s="20" t="s">
        <v>27</v>
      </c>
      <c r="E4" s="20" t="s">
        <v>28</v>
      </c>
      <c r="F4" s="20" t="s">
        <v>29</v>
      </c>
      <c r="G4" s="20" t="s">
        <v>30</v>
      </c>
      <c r="H4" s="20" t="s">
        <v>31</v>
      </c>
      <c r="I4" s="20" t="s">
        <v>32</v>
      </c>
    </row>
    <row r="5" customFormat="false" ht="51.75" hidden="false" customHeight="true" outlineLevel="0" collapsed="false">
      <c r="A5" s="21" t="n">
        <v>1</v>
      </c>
      <c r="B5" s="22" t="s">
        <v>33</v>
      </c>
      <c r="C5" s="23" t="s">
        <v>34</v>
      </c>
      <c r="D5" s="24" t="s">
        <v>35</v>
      </c>
      <c r="E5" s="25" t="n">
        <f aca="false">Calc!$B$7</f>
        <v>139399439.65</v>
      </c>
      <c r="F5" s="24" t="s">
        <v>36</v>
      </c>
      <c r="G5" s="24" t="s">
        <v>37</v>
      </c>
      <c r="H5" s="21" t="s">
        <v>38</v>
      </c>
      <c r="I5" s="24" t="s">
        <v>39</v>
      </c>
    </row>
    <row r="6" customFormat="false" ht="51.75" hidden="false" customHeight="true" outlineLevel="0" collapsed="false">
      <c r="A6" s="21" t="n">
        <v>2</v>
      </c>
      <c r="B6" s="22" t="s">
        <v>33</v>
      </c>
      <c r="C6" s="23" t="s">
        <v>40</v>
      </c>
      <c r="D6" s="24" t="s">
        <v>41</v>
      </c>
      <c r="E6" s="26" t="n">
        <f aca="false">Calc!$B$8</f>
        <v>1000</v>
      </c>
      <c r="F6" s="24" t="s">
        <v>42</v>
      </c>
      <c r="G6" s="24" t="s">
        <v>43</v>
      </c>
      <c r="H6" s="21" t="s">
        <v>38</v>
      </c>
      <c r="I6" s="24" t="s">
        <v>44</v>
      </c>
    </row>
    <row r="7" customFormat="false" ht="51.75" hidden="false" customHeight="true" outlineLevel="0" collapsed="false">
      <c r="A7" s="21" t="n">
        <v>3</v>
      </c>
      <c r="B7" s="22" t="s">
        <v>33</v>
      </c>
      <c r="C7" s="23" t="s">
        <v>45</v>
      </c>
      <c r="D7" s="24" t="s">
        <v>46</v>
      </c>
      <c r="E7" s="25" t="n">
        <f aca="false">Calc!$B$9</f>
        <v>139399.43965</v>
      </c>
      <c r="F7" s="24" t="s">
        <v>47</v>
      </c>
      <c r="G7" s="24" t="s">
        <v>48</v>
      </c>
      <c r="H7" s="21" t="s">
        <v>49</v>
      </c>
      <c r="I7" s="24" t="s">
        <v>50</v>
      </c>
    </row>
    <row r="8" customFormat="false" ht="51.75" hidden="false" customHeight="true" outlineLevel="0" collapsed="false">
      <c r="A8" s="21" t="n">
        <v>4</v>
      </c>
      <c r="B8" s="22" t="s">
        <v>33</v>
      </c>
      <c r="C8" s="23" t="s">
        <v>51</v>
      </c>
      <c r="D8" s="24" t="s">
        <v>52</v>
      </c>
      <c r="E8" s="26" t="n">
        <f aca="false">Calc!$B$12</f>
        <v>947</v>
      </c>
      <c r="F8" s="24" t="s">
        <v>53</v>
      </c>
      <c r="G8" s="24" t="s">
        <v>43</v>
      </c>
      <c r="H8" s="21" t="s">
        <v>49</v>
      </c>
      <c r="I8" s="24" t="s">
        <v>54</v>
      </c>
    </row>
    <row r="9" customFormat="false" ht="51.75" hidden="false" customHeight="true" outlineLevel="0" collapsed="false">
      <c r="A9" s="21" t="n">
        <v>5</v>
      </c>
      <c r="B9" s="22" t="s">
        <v>33</v>
      </c>
      <c r="C9" s="23" t="s">
        <v>55</v>
      </c>
      <c r="D9" s="24" t="s">
        <v>56</v>
      </c>
      <c r="E9" s="27" t="n">
        <f aca="false">Calc!$B$14</f>
        <v>0.0549102428722281</v>
      </c>
      <c r="F9" s="24" t="s">
        <v>57</v>
      </c>
      <c r="G9" s="24" t="s">
        <v>58</v>
      </c>
      <c r="H9" s="21" t="s">
        <v>59</v>
      </c>
      <c r="I9" s="24" t="s">
        <v>60</v>
      </c>
    </row>
    <row r="10" customFormat="false" ht="51.75" hidden="false" customHeight="true" outlineLevel="0" collapsed="false">
      <c r="A10" s="21" t="n">
        <v>6</v>
      </c>
      <c r="B10" s="22" t="s">
        <v>33</v>
      </c>
      <c r="C10" s="23" t="s">
        <v>61</v>
      </c>
      <c r="D10" s="24" t="s">
        <v>62</v>
      </c>
      <c r="E10" s="28" t="n">
        <f aca="false">Calc!$B$18</f>
        <v>-0.0259522993478182</v>
      </c>
      <c r="F10" s="24" t="s">
        <v>63</v>
      </c>
      <c r="G10" s="24" t="s">
        <v>37</v>
      </c>
      <c r="H10" s="21" t="s">
        <v>49</v>
      </c>
      <c r="I10" s="24" t="s">
        <v>64</v>
      </c>
    </row>
    <row r="11" customFormat="false" ht="51.75" hidden="false" customHeight="true" outlineLevel="0" collapsed="false">
      <c r="A11" s="21" t="n">
        <v>7</v>
      </c>
      <c r="B11" s="29" t="s">
        <v>65</v>
      </c>
      <c r="C11" s="23" t="s">
        <v>66</v>
      </c>
      <c r="D11" s="24" t="s">
        <v>67</v>
      </c>
      <c r="E11" s="27" t="n">
        <f aca="false">Calc!$B$21</f>
        <v>0.364266756218629</v>
      </c>
      <c r="F11" s="24" t="s">
        <v>68</v>
      </c>
      <c r="G11" s="24" t="s">
        <v>69</v>
      </c>
      <c r="H11" s="21" t="s">
        <v>49</v>
      </c>
      <c r="I11" s="24" t="s">
        <v>70</v>
      </c>
    </row>
    <row r="12" customFormat="false" ht="51.75" hidden="false" customHeight="true" outlineLevel="0" collapsed="false">
      <c r="A12" s="21" t="n">
        <v>8</v>
      </c>
      <c r="B12" s="29" t="s">
        <v>65</v>
      </c>
      <c r="C12" s="23" t="s">
        <v>71</v>
      </c>
      <c r="D12" s="24" t="s">
        <v>72</v>
      </c>
      <c r="E12" s="30" t="n">
        <f aca="false">Calc!$B$68</f>
        <v>254.4300851</v>
      </c>
      <c r="F12" s="24" t="s">
        <v>73</v>
      </c>
      <c r="G12" s="24" t="s">
        <v>74</v>
      </c>
      <c r="H12" s="21" t="s">
        <v>49</v>
      </c>
      <c r="I12" s="24" t="s">
        <v>75</v>
      </c>
    </row>
    <row r="13" customFormat="false" ht="51.75" hidden="false" customHeight="true" outlineLevel="0" collapsed="false">
      <c r="A13" s="21" t="n">
        <v>9</v>
      </c>
      <c r="B13" s="29" t="s">
        <v>65</v>
      </c>
      <c r="C13" s="23" t="s">
        <v>76</v>
      </c>
      <c r="D13" s="24" t="s">
        <v>77</v>
      </c>
      <c r="E13" s="31" t="str">
        <f aca="false">Calc!$B$23</f>
        <v>Patna</v>
      </c>
      <c r="F13" s="24" t="s">
        <v>78</v>
      </c>
      <c r="G13" s="24" t="s">
        <v>79</v>
      </c>
      <c r="H13" s="21" t="s">
        <v>49</v>
      </c>
      <c r="I13" s="24" t="s">
        <v>80</v>
      </c>
    </row>
    <row r="14" customFormat="false" ht="51.75" hidden="false" customHeight="true" outlineLevel="0" collapsed="false">
      <c r="A14" s="21" t="n">
        <v>10</v>
      </c>
      <c r="B14" s="29" t="s">
        <v>65</v>
      </c>
      <c r="C14" s="23" t="s">
        <v>81</v>
      </c>
      <c r="D14" s="24" t="s">
        <v>82</v>
      </c>
      <c r="E14" s="30" t="n">
        <f aca="false">Calc!$B$94</f>
        <v>296.3233696</v>
      </c>
      <c r="F14" s="24" t="s">
        <v>83</v>
      </c>
      <c r="G14" s="24" t="s">
        <v>74</v>
      </c>
      <c r="H14" s="21" t="s">
        <v>84</v>
      </c>
      <c r="I14" s="24" t="s">
        <v>85</v>
      </c>
    </row>
    <row r="15" customFormat="false" ht="51.75" hidden="false" customHeight="true" outlineLevel="0" collapsed="false">
      <c r="A15" s="21" t="n">
        <v>11</v>
      </c>
      <c r="B15" s="29" t="s">
        <v>65</v>
      </c>
      <c r="C15" s="23" t="s">
        <v>86</v>
      </c>
      <c r="D15" s="24" t="s">
        <v>87</v>
      </c>
      <c r="E15" s="27" t="n">
        <f aca="false">Calc!$F$104</f>
        <v>0.519826699532935</v>
      </c>
      <c r="F15" s="24" t="s">
        <v>88</v>
      </c>
      <c r="G15" s="24" t="s">
        <v>89</v>
      </c>
      <c r="H15" s="21" t="s">
        <v>84</v>
      </c>
      <c r="I15" s="24" t="s">
        <v>90</v>
      </c>
    </row>
    <row r="16" customFormat="false" ht="51.75" hidden="false" customHeight="true" outlineLevel="0" collapsed="false">
      <c r="A16" s="21" t="n">
        <v>12</v>
      </c>
      <c r="B16" s="32" t="s">
        <v>91</v>
      </c>
      <c r="C16" s="23" t="s">
        <v>92</v>
      </c>
      <c r="D16" s="24" t="s">
        <v>93</v>
      </c>
      <c r="E16" s="27" t="n">
        <f aca="false">Calc!$B$28</f>
        <v>0.013</v>
      </c>
      <c r="F16" s="24" t="s">
        <v>94</v>
      </c>
      <c r="G16" s="24" t="s">
        <v>95</v>
      </c>
      <c r="H16" s="21" t="s">
        <v>96</v>
      </c>
      <c r="I16" s="24" t="s">
        <v>97</v>
      </c>
    </row>
    <row r="17" customFormat="false" ht="51.75" hidden="false" customHeight="true" outlineLevel="0" collapsed="false">
      <c r="A17" s="21" t="n">
        <v>13</v>
      </c>
      <c r="B17" s="32" t="s">
        <v>91</v>
      </c>
      <c r="C17" s="23" t="s">
        <v>98</v>
      </c>
      <c r="D17" s="24" t="s">
        <v>99</v>
      </c>
      <c r="E17" s="26" t="n">
        <f aca="false">Calc!$B$24</f>
        <v>8</v>
      </c>
      <c r="F17" s="24" t="s">
        <v>100</v>
      </c>
      <c r="G17" s="24" t="s">
        <v>95</v>
      </c>
      <c r="H17" s="21" t="s">
        <v>96</v>
      </c>
      <c r="I17" s="24" t="s">
        <v>101</v>
      </c>
    </row>
    <row r="18" customFormat="false" ht="51.75" hidden="false" customHeight="true" outlineLevel="0" collapsed="false">
      <c r="A18" s="21" t="n">
        <v>14</v>
      </c>
      <c r="B18" s="32" t="s">
        <v>91</v>
      </c>
      <c r="C18" s="23" t="s">
        <v>102</v>
      </c>
      <c r="D18" s="24" t="s">
        <v>103</v>
      </c>
      <c r="E18" s="26" t="n">
        <f aca="false">Calc!$B$29</f>
        <v>0</v>
      </c>
      <c r="F18" s="24" t="s">
        <v>104</v>
      </c>
      <c r="G18" s="24" t="s">
        <v>95</v>
      </c>
      <c r="H18" s="21" t="s">
        <v>96</v>
      </c>
      <c r="I18" s="24" t="s">
        <v>101</v>
      </c>
    </row>
    <row r="20" customFormat="false" ht="15" hidden="false" customHeight="false" outlineLevel="0" collapsed="false">
      <c r="A20" s="19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85"/>
    <col collapsed="false" customWidth="true" hidden="false" outlineLevel="0" max="4" min="4" style="0" width="55"/>
  </cols>
  <sheetData>
    <row r="1" customFormat="false" ht="19.7" hidden="false" customHeight="false" outlineLevel="0" collapsed="false">
      <c r="A1" s="18" t="s">
        <v>106</v>
      </c>
    </row>
    <row r="2" customFormat="false" ht="15" hidden="false" customHeight="false" outlineLevel="0" collapsed="false">
      <c r="A2" s="19" t="s">
        <v>107</v>
      </c>
    </row>
    <row r="4" customFormat="false" ht="15" hidden="false" customHeight="false" outlineLevel="0" collapsed="false">
      <c r="A4" s="20" t="s">
        <v>24</v>
      </c>
      <c r="B4" s="20" t="s">
        <v>108</v>
      </c>
      <c r="C4" s="20" t="s">
        <v>109</v>
      </c>
      <c r="D4" s="20" t="s">
        <v>110</v>
      </c>
    </row>
    <row r="5" customFormat="false" ht="57.75" hidden="false" customHeight="true" outlineLevel="0" collapsed="false">
      <c r="A5" s="21" t="n">
        <v>1</v>
      </c>
      <c r="B5" s="23" t="s">
        <v>111</v>
      </c>
      <c r="C5" s="24" t="s">
        <v>112</v>
      </c>
      <c r="D5" s="24" t="s">
        <v>113</v>
      </c>
    </row>
    <row r="6" customFormat="false" ht="57.75" hidden="false" customHeight="true" outlineLevel="0" collapsed="false">
      <c r="A6" s="21" t="n">
        <v>2</v>
      </c>
      <c r="B6" s="23" t="s">
        <v>114</v>
      </c>
      <c r="C6" s="24" t="s">
        <v>115</v>
      </c>
      <c r="D6" s="24" t="s">
        <v>116</v>
      </c>
    </row>
    <row r="7" customFormat="false" ht="57.75" hidden="false" customHeight="true" outlineLevel="0" collapsed="false">
      <c r="A7" s="21" t="n">
        <v>3</v>
      </c>
      <c r="B7" s="23" t="s">
        <v>117</v>
      </c>
      <c r="C7" s="24" t="s">
        <v>118</v>
      </c>
      <c r="D7" s="24" t="s">
        <v>119</v>
      </c>
    </row>
    <row r="8" customFormat="false" ht="57.75" hidden="false" customHeight="true" outlineLevel="0" collapsed="false">
      <c r="A8" s="21" t="n">
        <v>4</v>
      </c>
      <c r="B8" s="23" t="s">
        <v>120</v>
      </c>
      <c r="C8" s="24" t="s">
        <v>121</v>
      </c>
      <c r="D8" s="24" t="s">
        <v>122</v>
      </c>
    </row>
    <row r="9" customFormat="false" ht="57.75" hidden="false" customHeight="true" outlineLevel="0" collapsed="false">
      <c r="A9" s="21" t="n">
        <v>5</v>
      </c>
      <c r="B9" s="23" t="s">
        <v>123</v>
      </c>
      <c r="C9" s="24" t="s">
        <v>124</v>
      </c>
      <c r="D9" s="24" t="s">
        <v>125</v>
      </c>
    </row>
    <row r="10" customFormat="false" ht="57.75" hidden="false" customHeight="true" outlineLevel="0" collapsed="false">
      <c r="A10" s="21" t="n">
        <v>6</v>
      </c>
      <c r="B10" s="23" t="s">
        <v>126</v>
      </c>
      <c r="C10" s="24" t="s">
        <v>127</v>
      </c>
      <c r="D10" s="24" t="s">
        <v>128</v>
      </c>
    </row>
    <row r="11" customFormat="false" ht="57.75" hidden="false" customHeight="true" outlineLevel="0" collapsed="false">
      <c r="A11" s="21" t="n">
        <v>7</v>
      </c>
      <c r="B11" s="23" t="s">
        <v>129</v>
      </c>
      <c r="C11" s="24" t="s">
        <v>130</v>
      </c>
      <c r="D11" s="24" t="s">
        <v>131</v>
      </c>
    </row>
    <row r="12" customFormat="false" ht="57.75" hidden="false" customHeight="true" outlineLevel="0" collapsed="false">
      <c r="A12" s="21" t="n">
        <v>8</v>
      </c>
      <c r="B12" s="23" t="s">
        <v>132</v>
      </c>
      <c r="C12" s="24" t="s">
        <v>133</v>
      </c>
      <c r="D12" s="24" t="s">
        <v>134</v>
      </c>
    </row>
    <row r="13" customFormat="false" ht="57.75" hidden="false" customHeight="true" outlineLevel="0" collapsed="false">
      <c r="A13" s="21" t="n">
        <v>9</v>
      </c>
      <c r="B13" s="23" t="s">
        <v>135</v>
      </c>
      <c r="C13" s="24" t="s">
        <v>136</v>
      </c>
      <c r="D13" s="24" t="s">
        <v>137</v>
      </c>
    </row>
    <row r="14" customFormat="false" ht="57.75" hidden="false" customHeight="true" outlineLevel="0" collapsed="false">
      <c r="A14" s="21" t="n">
        <v>10</v>
      </c>
      <c r="B14" s="23" t="s">
        <v>138</v>
      </c>
      <c r="C14" s="24" t="s">
        <v>139</v>
      </c>
      <c r="D14" s="24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33" t="s">
        <v>141</v>
      </c>
    </row>
    <row r="2" customFormat="false" ht="15" hidden="false" customHeight="false" outlineLevel="0" collapsed="false">
      <c r="A2" s="34" t="s">
        <v>142</v>
      </c>
    </row>
    <row r="3" customFormat="false" ht="15" hidden="false" customHeight="false" outlineLevel="0" collapsed="false">
      <c r="A3" s="35" t="s">
        <v>143</v>
      </c>
      <c r="B3" s="36" t="n">
        <v>100000</v>
      </c>
      <c r="C3" s="19" t="s">
        <v>144</v>
      </c>
    </row>
    <row r="4" customFormat="false" ht="15" hidden="false" customHeight="false" outlineLevel="0" collapsed="false">
      <c r="A4" s="35" t="s">
        <v>145</v>
      </c>
      <c r="B4" s="36" t="n">
        <v>10000000</v>
      </c>
      <c r="C4" s="19" t="s">
        <v>146</v>
      </c>
    </row>
    <row r="6" customFormat="false" ht="15" hidden="false" customHeight="false" outlineLevel="0" collapsed="false">
      <c r="A6" s="20" t="s">
        <v>147</v>
      </c>
      <c r="B6" s="20" t="s">
        <v>148</v>
      </c>
      <c r="C6" s="20" t="s">
        <v>149</v>
      </c>
    </row>
    <row r="7" customFormat="false" ht="15" hidden="false" customHeight="false" outlineLevel="0" collapsed="false">
      <c r="A7" s="35" t="s">
        <v>150</v>
      </c>
      <c r="B7" s="37" t="n">
        <f aca="false">SUM(Data!$L$2:$L$1001)</f>
        <v>139399439.65</v>
      </c>
      <c r="C7" s="19" t="s">
        <v>151</v>
      </c>
    </row>
    <row r="8" customFormat="false" ht="15" hidden="false" customHeight="false" outlineLevel="0" collapsed="false">
      <c r="A8" s="35" t="s">
        <v>40</v>
      </c>
      <c r="B8" s="38" t="n">
        <f aca="false">COUNTA(Data!$A$2:$A$1001)</f>
        <v>1000</v>
      </c>
      <c r="C8" s="19" t="s">
        <v>152</v>
      </c>
    </row>
    <row r="9" customFormat="false" ht="15" hidden="false" customHeight="false" outlineLevel="0" collapsed="false">
      <c r="A9" s="35" t="s">
        <v>153</v>
      </c>
      <c r="B9" s="37" t="n">
        <f aca="false">B7/B8</f>
        <v>139399.43965</v>
      </c>
      <c r="C9" s="19" t="s">
        <v>46</v>
      </c>
    </row>
    <row r="10" customFormat="false" ht="15" hidden="false" customHeight="false" outlineLevel="0" collapsed="false">
      <c r="A10" s="35" t="s">
        <v>154</v>
      </c>
      <c r="B10" s="38" t="n">
        <f aca="false">SUM(Data!$J$2:$J$1001)</f>
        <v>5435</v>
      </c>
      <c r="C10" s="19" t="s">
        <v>155</v>
      </c>
    </row>
    <row r="11" customFormat="false" ht="15" hidden="false" customHeight="false" outlineLevel="0" collapsed="false">
      <c r="A11" s="35" t="s">
        <v>156</v>
      </c>
      <c r="B11" s="39" t="n">
        <f aca="false">B10/B8</f>
        <v>5.435</v>
      </c>
      <c r="C11" s="19" t="s">
        <v>157</v>
      </c>
    </row>
    <row r="12" customFormat="false" ht="15" hidden="false" customHeight="false" outlineLevel="0" collapsed="false">
      <c r="A12" s="35" t="s">
        <v>51</v>
      </c>
      <c r="B12" s="38" t="n">
        <f aca="false">SUM(Data!$Q$2:$Q$1001)</f>
        <v>947</v>
      </c>
      <c r="C12" s="19" t="s">
        <v>158</v>
      </c>
    </row>
    <row r="13" customFormat="false" ht="15" hidden="false" customHeight="false" outlineLevel="0" collapsed="false">
      <c r="A13" s="35" t="s">
        <v>159</v>
      </c>
      <c r="B13" s="38" t="n">
        <f aca="false">SUMPRODUCT(Data!$Q$2:$Q$1001*(Data!$P$2:$P$1001&gt;1))</f>
        <v>52</v>
      </c>
      <c r="C13" s="19" t="s">
        <v>160</v>
      </c>
    </row>
    <row r="14" customFormat="false" ht="15" hidden="false" customHeight="false" outlineLevel="0" collapsed="false">
      <c r="A14" s="35" t="s">
        <v>55</v>
      </c>
      <c r="B14" s="40" t="n">
        <f aca="false">B13/B12</f>
        <v>0.0549102428722281</v>
      </c>
      <c r="C14" s="19" t="s">
        <v>161</v>
      </c>
    </row>
    <row r="15" customFormat="false" ht="15" hidden="false" customHeight="false" outlineLevel="0" collapsed="false">
      <c r="A15" s="35" t="s">
        <v>162</v>
      </c>
      <c r="B15" s="37" t="n">
        <f aca="false">B7/B12</f>
        <v>147201.097835269</v>
      </c>
      <c r="C15" s="19" t="s">
        <v>163</v>
      </c>
    </row>
    <row r="16" customFormat="false" ht="15" hidden="false" customHeight="false" outlineLevel="0" collapsed="false">
      <c r="A16" s="35" t="s">
        <v>164</v>
      </c>
      <c r="B16" s="41" t="n">
        <f aca="false">C49</f>
        <v>122.9990444</v>
      </c>
      <c r="C16" s="19" t="s">
        <v>165</v>
      </c>
    </row>
    <row r="17" customFormat="false" ht="15" hidden="false" customHeight="false" outlineLevel="0" collapsed="false">
      <c r="A17" s="35" t="s">
        <v>166</v>
      </c>
      <c r="B17" s="41" t="n">
        <f aca="false">C48</f>
        <v>126.2762022</v>
      </c>
      <c r="C17" s="19"/>
    </row>
    <row r="18" customFormat="false" ht="15" hidden="false" customHeight="false" outlineLevel="0" collapsed="false">
      <c r="A18" s="35" t="s">
        <v>61</v>
      </c>
      <c r="B18" s="42" t="n">
        <f aca="false">IF(B17=0,0,B16/B17-1)</f>
        <v>-0.0259522993478182</v>
      </c>
      <c r="C18" s="19" t="s">
        <v>62</v>
      </c>
    </row>
    <row r="20" customFormat="false" ht="15" hidden="false" customHeight="false" outlineLevel="0" collapsed="false">
      <c r="A20" s="20" t="s">
        <v>167</v>
      </c>
      <c r="B20" s="20" t="s">
        <v>148</v>
      </c>
      <c r="C20" s="20" t="s">
        <v>149</v>
      </c>
    </row>
    <row r="21" customFormat="false" ht="15" hidden="false" customHeight="false" outlineLevel="0" collapsed="false">
      <c r="A21" s="35" t="s">
        <v>168</v>
      </c>
      <c r="B21" s="40" t="n">
        <f aca="false">MAX(F58:F62)</f>
        <v>0.364266756218629</v>
      </c>
      <c r="C21" s="19" t="s">
        <v>169</v>
      </c>
    </row>
    <row r="22" customFormat="false" ht="15" hidden="false" customHeight="false" outlineLevel="0" collapsed="false">
      <c r="A22" s="35" t="s">
        <v>170</v>
      </c>
      <c r="B22" s="43" t="str">
        <f aca="false">INDEX(A58:A62,MATCH(MAX(F58:F62),F58:F62,0))</f>
        <v>Electronics</v>
      </c>
      <c r="C22" s="19" t="s">
        <v>171</v>
      </c>
    </row>
    <row r="23" customFormat="false" ht="15" hidden="false" customHeight="false" outlineLevel="0" collapsed="false">
      <c r="A23" s="35" t="s">
        <v>172</v>
      </c>
      <c r="B23" s="43" t="str">
        <f aca="false">INDEX(A79:A86,MATCH(MAX(B79:B86),B79:B86,0))</f>
        <v>Patna</v>
      </c>
      <c r="C23" s="19" t="s">
        <v>173</v>
      </c>
    </row>
    <row r="24" customFormat="false" ht="15" hidden="false" customHeight="false" outlineLevel="0" collapsed="false">
      <c r="A24" s="35" t="s">
        <v>174</v>
      </c>
      <c r="B24" s="38" t="n">
        <f aca="false">B8-SUMPRODUCT(1/COUNTIF(Data!$A$2:$A$1001,Data!$A$2:$A$1001))</f>
        <v>8</v>
      </c>
      <c r="C24" s="19" t="s">
        <v>99</v>
      </c>
    </row>
    <row r="25" customFormat="false" ht="15" hidden="false" customHeight="false" outlineLevel="0" collapsed="false">
      <c r="A25" s="35" t="s">
        <v>175</v>
      </c>
      <c r="B25" s="38" t="n">
        <f aca="false">COUNTBLANK(Data!$E$2:$E$1001)</f>
        <v>20</v>
      </c>
      <c r="C25" s="19" t="s">
        <v>176</v>
      </c>
    </row>
    <row r="26" customFormat="false" ht="15" hidden="false" customHeight="false" outlineLevel="0" collapsed="false">
      <c r="A26" s="35" t="s">
        <v>177</v>
      </c>
      <c r="B26" s="40" t="n">
        <f aca="false">B25/B8</f>
        <v>0.02</v>
      </c>
      <c r="C26" s="19"/>
    </row>
    <row r="27" customFormat="false" ht="15" hidden="false" customHeight="false" outlineLevel="0" collapsed="false">
      <c r="A27" s="35" t="s">
        <v>178</v>
      </c>
      <c r="B27" s="38" t="n">
        <f aca="false">COUNTBLANK(Data!$G$2:$G$1001)</f>
        <v>13</v>
      </c>
      <c r="C27" s="19" t="s">
        <v>179</v>
      </c>
    </row>
    <row r="28" customFormat="false" ht="15" hidden="false" customHeight="false" outlineLevel="0" collapsed="false">
      <c r="A28" s="35" t="s">
        <v>180</v>
      </c>
      <c r="B28" s="40" t="n">
        <f aca="false">B27/B8</f>
        <v>0.013</v>
      </c>
      <c r="C28" s="19"/>
    </row>
    <row r="29" customFormat="false" ht="15" hidden="false" customHeight="false" outlineLevel="0" collapsed="false">
      <c r="A29" s="35" t="s">
        <v>102</v>
      </c>
      <c r="B29" s="38" t="n">
        <f aca="false">SUMPRODUCT(--(ABS(Data!$J$2:$J$1001*Data!$K$2:$K$1001-Data!$L$2:$L$1001)&gt;0.05))</f>
        <v>0</v>
      </c>
      <c r="C29" s="19" t="s">
        <v>181</v>
      </c>
    </row>
    <row r="30" customFormat="false" ht="15" hidden="false" customHeight="false" outlineLevel="0" collapsed="false">
      <c r="A30" s="35" t="s">
        <v>182</v>
      </c>
      <c r="B30" s="38" t="n">
        <f aca="false">D51</f>
        <v>5</v>
      </c>
      <c r="C30" s="19" t="s">
        <v>183</v>
      </c>
    </row>
    <row r="31" customFormat="false" ht="15" hidden="false" customHeight="false" outlineLevel="0" collapsed="false">
      <c r="A31" s="35" t="s">
        <v>184</v>
      </c>
      <c r="B31" s="41" t="n">
        <f aca="false">B87</f>
        <v>15.4061754</v>
      </c>
      <c r="C31" s="19" t="s">
        <v>185</v>
      </c>
    </row>
    <row r="36" customFormat="false" ht="15" hidden="false" customHeight="false" outlineLevel="0" collapsed="false">
      <c r="A36" s="44" t="s">
        <v>186</v>
      </c>
    </row>
    <row r="37" customFormat="false" ht="15" hidden="false" customHeight="false" outlineLevel="0" collapsed="false">
      <c r="A37" s="20" t="s">
        <v>187</v>
      </c>
      <c r="B37" s="20" t="s">
        <v>188</v>
      </c>
      <c r="C37" s="20" t="s">
        <v>189</v>
      </c>
      <c r="D37" s="20" t="s">
        <v>190</v>
      </c>
      <c r="E37" s="20" t="s">
        <v>191</v>
      </c>
      <c r="F37" s="20" t="s">
        <v>192</v>
      </c>
    </row>
    <row r="38" customFormat="false" ht="15" hidden="false" customHeight="false" outlineLevel="0" collapsed="false">
      <c r="A38" s="45" t="n">
        <v>45658</v>
      </c>
      <c r="B38" s="46" t="str">
        <f aca="false">TEXT(A38,"mmm-yy")</f>
        <v>Jan-25</v>
      </c>
      <c r="C38" s="47" t="n">
        <f aca="false">SUMIFS(Data!$L$2:$L$1001,Data!$M$2:$M$1001,$A38)/$B$3</f>
        <v>100.9619073</v>
      </c>
      <c r="D38" s="48" t="n">
        <f aca="false">COUNTIFS(Data!$M$2:$M$1001,$A38)</f>
        <v>76</v>
      </c>
      <c r="E38" s="49" t="n">
        <f aca="false">IF(D38=0,0,C38*$B$3/D38)</f>
        <v>132844.614868421</v>
      </c>
      <c r="F38" s="46"/>
    </row>
    <row r="39" customFormat="false" ht="15" hidden="false" customHeight="false" outlineLevel="0" collapsed="false">
      <c r="A39" s="45" t="n">
        <v>45689</v>
      </c>
      <c r="B39" s="46" t="str">
        <f aca="false">TEXT(A39,"mmm-yy")</f>
        <v>Feb-25</v>
      </c>
      <c r="C39" s="47" t="n">
        <f aca="false">SUMIFS(Data!$L$2:$L$1001,Data!$M$2:$M$1001,$A39)/$B$3</f>
        <v>115.1118146</v>
      </c>
      <c r="D39" s="48" t="n">
        <f aca="false">COUNTIFS(Data!$M$2:$M$1001,$A39)</f>
        <v>86</v>
      </c>
      <c r="E39" s="49" t="n">
        <f aca="false">IF(D39=0,0,C39*$B$3/D39)</f>
        <v>133850.947209302</v>
      </c>
      <c r="F39" s="50" t="n">
        <f aca="false">IF(C38=0,0,C39/C38-1)</f>
        <v>0.14015095077349</v>
      </c>
    </row>
    <row r="40" customFormat="false" ht="15" hidden="false" customHeight="false" outlineLevel="0" collapsed="false">
      <c r="A40" s="45" t="n">
        <v>45717</v>
      </c>
      <c r="B40" s="46" t="str">
        <f aca="false">TEXT(A40,"mmm-yy")</f>
        <v>Mar-25</v>
      </c>
      <c r="C40" s="47" t="n">
        <f aca="false">SUMIFS(Data!$L$2:$L$1001,Data!$M$2:$M$1001,$A40)/$B$3</f>
        <v>130.5989994</v>
      </c>
      <c r="D40" s="48" t="n">
        <f aca="false">COUNTIFS(Data!$M$2:$M$1001,$A40)</f>
        <v>89</v>
      </c>
      <c r="E40" s="49" t="n">
        <f aca="false">IF(D40=0,0,C40*$B$3/D40)</f>
        <v>146740.448764045</v>
      </c>
      <c r="F40" s="50" t="n">
        <f aca="false">IF(C39=0,0,C40/C39-1)</f>
        <v>0.134540358466384</v>
      </c>
    </row>
    <row r="41" customFormat="false" ht="15" hidden="false" customHeight="false" outlineLevel="0" collapsed="false">
      <c r="A41" s="45" t="n">
        <v>45748</v>
      </c>
      <c r="B41" s="46" t="str">
        <f aca="false">TEXT(A41,"mmm-yy")</f>
        <v>Apr-25</v>
      </c>
      <c r="C41" s="47" t="n">
        <f aca="false">SUMIFS(Data!$L$2:$L$1001,Data!$M$2:$M$1001,$A41)/$B$3</f>
        <v>122.2270017</v>
      </c>
      <c r="D41" s="48" t="n">
        <f aca="false">COUNTIFS(Data!$M$2:$M$1001,$A41)</f>
        <v>80</v>
      </c>
      <c r="E41" s="49" t="n">
        <f aca="false">IF(D41=0,0,C41*$B$3/D41)</f>
        <v>152783.752125</v>
      </c>
      <c r="F41" s="50" t="n">
        <f aca="false">IF(C40=0,0,C41/C40-1)</f>
        <v>-0.0641046082930402</v>
      </c>
    </row>
    <row r="42" customFormat="false" ht="15" hidden="false" customHeight="false" outlineLevel="0" collapsed="false">
      <c r="A42" s="45" t="n">
        <v>45778</v>
      </c>
      <c r="B42" s="46" t="str">
        <f aca="false">TEXT(A42,"mmm-yy")</f>
        <v>May-25</v>
      </c>
      <c r="C42" s="47" t="n">
        <f aca="false">SUMIFS(Data!$L$2:$L$1001,Data!$M$2:$M$1001,$A42)/$B$3</f>
        <v>109.8468925</v>
      </c>
      <c r="D42" s="48" t="n">
        <f aca="false">COUNTIFS(Data!$M$2:$M$1001,$A42)</f>
        <v>85</v>
      </c>
      <c r="E42" s="49" t="n">
        <f aca="false">IF(D42=0,0,C42*$B$3/D42)</f>
        <v>129231.638235294</v>
      </c>
      <c r="F42" s="50" t="n">
        <f aca="false">IF(C41=0,0,C42/C41-1)</f>
        <v>-0.101287841702821</v>
      </c>
    </row>
    <row r="43" customFormat="false" ht="15" hidden="false" customHeight="false" outlineLevel="0" collapsed="false">
      <c r="A43" s="45" t="n">
        <v>45809</v>
      </c>
      <c r="B43" s="46" t="str">
        <f aca="false">TEXT(A43,"mmm-yy")</f>
        <v>Jun-25</v>
      </c>
      <c r="C43" s="47" t="n">
        <f aca="false">SUMIFS(Data!$L$2:$L$1001,Data!$M$2:$M$1001,$A43)/$B$3</f>
        <v>129.1233264</v>
      </c>
      <c r="D43" s="48" t="n">
        <f aca="false">COUNTIFS(Data!$M$2:$M$1001,$A43)</f>
        <v>83</v>
      </c>
      <c r="E43" s="49" t="n">
        <f aca="false">IF(D43=0,0,C43*$B$3/D43)</f>
        <v>155570.272771084</v>
      </c>
      <c r="F43" s="50" t="n">
        <f aca="false">IF(C42=0,0,C43/C42-1)</f>
        <v>0.175484562751741</v>
      </c>
    </row>
    <row r="44" customFormat="false" ht="15" hidden="false" customHeight="false" outlineLevel="0" collapsed="false">
      <c r="A44" s="45" t="n">
        <v>45839</v>
      </c>
      <c r="B44" s="46" t="str">
        <f aca="false">TEXT(A44,"mmm-yy")</f>
        <v>Jul-25</v>
      </c>
      <c r="C44" s="47" t="n">
        <f aca="false">SUMIFS(Data!$L$2:$L$1001,Data!$M$2:$M$1001,$A44)/$B$3</f>
        <v>117.462268</v>
      </c>
      <c r="D44" s="48" t="n">
        <f aca="false">COUNTIFS(Data!$M$2:$M$1001,$A44)</f>
        <v>83</v>
      </c>
      <c r="E44" s="49" t="n">
        <f aca="false">IF(D44=0,0,C44*$B$3/D44)</f>
        <v>141520.804819277</v>
      </c>
      <c r="F44" s="50" t="n">
        <f aca="false">IF(C43=0,0,C44/C43-1)</f>
        <v>-0.0903094640226059</v>
      </c>
    </row>
    <row r="45" customFormat="false" ht="15" hidden="false" customHeight="false" outlineLevel="0" collapsed="false">
      <c r="A45" s="45" t="n">
        <v>45870</v>
      </c>
      <c r="B45" s="46" t="str">
        <f aca="false">TEXT(A45,"mmm-yy")</f>
        <v>Aug-25</v>
      </c>
      <c r="C45" s="47" t="n">
        <f aca="false">SUMIFS(Data!$L$2:$L$1001,Data!$M$2:$M$1001,$A45)/$B$3</f>
        <v>94.4847122</v>
      </c>
      <c r="D45" s="48" t="n">
        <f aca="false">COUNTIFS(Data!$M$2:$M$1001,$A45)</f>
        <v>75</v>
      </c>
      <c r="E45" s="49" t="n">
        <f aca="false">IF(D45=0,0,C45*$B$3/D45)</f>
        <v>125979.616266667</v>
      </c>
      <c r="F45" s="50" t="n">
        <f aca="false">IF(C44=0,0,C45/C44-1)</f>
        <v>-0.195616483414061</v>
      </c>
    </row>
    <row r="46" customFormat="false" ht="15" hidden="false" customHeight="false" outlineLevel="0" collapsed="false">
      <c r="A46" s="45" t="n">
        <v>45901</v>
      </c>
      <c r="B46" s="46" t="str">
        <f aca="false">TEXT(A46,"mmm-yy")</f>
        <v>Sep-25</v>
      </c>
      <c r="C46" s="47" t="n">
        <f aca="false">SUMIFS(Data!$L$2:$L$1001,Data!$M$2:$M$1001,$A46)/$B$3</f>
        <v>91.7989629</v>
      </c>
      <c r="D46" s="48" t="n">
        <f aca="false">COUNTIFS(Data!$M$2:$M$1001,$A46)</f>
        <v>79</v>
      </c>
      <c r="E46" s="49" t="n">
        <f aca="false">IF(D46=0,0,C46*$B$3/D46)</f>
        <v>116201.218860759</v>
      </c>
      <c r="F46" s="50" t="n">
        <f aca="false">IF(C45=0,0,C46/C45-1)</f>
        <v>-0.0284252260229673</v>
      </c>
    </row>
    <row r="47" customFormat="false" ht="15" hidden="false" customHeight="false" outlineLevel="0" collapsed="false">
      <c r="A47" s="45" t="n">
        <v>45931</v>
      </c>
      <c r="B47" s="46" t="str">
        <f aca="false">TEXT(A47,"mmm-yy")</f>
        <v>Oct-25</v>
      </c>
      <c r="C47" s="47" t="n">
        <f aca="false">SUMIFS(Data!$L$2:$L$1001,Data!$M$2:$M$1001,$A47)/$B$3</f>
        <v>125.009365</v>
      </c>
      <c r="D47" s="48" t="n">
        <f aca="false">COUNTIFS(Data!$M$2:$M$1001,$A47)</f>
        <v>84</v>
      </c>
      <c r="E47" s="49" t="n">
        <f aca="false">IF(D47=0,0,C47*$B$3/D47)</f>
        <v>148820.672619048</v>
      </c>
      <c r="F47" s="50" t="n">
        <f aca="false">IF(C46=0,0,C47/C46-1)</f>
        <v>0.361773173147689</v>
      </c>
    </row>
    <row r="48" customFormat="false" ht="15" hidden="false" customHeight="false" outlineLevel="0" collapsed="false">
      <c r="A48" s="45" t="n">
        <v>45962</v>
      </c>
      <c r="B48" s="46" t="str">
        <f aca="false">TEXT(A48,"mmm-yy")</f>
        <v>Nov-25</v>
      </c>
      <c r="C48" s="47" t="n">
        <f aca="false">SUMIFS(Data!$L$2:$L$1001,Data!$M$2:$M$1001,$A48)/$B$3</f>
        <v>126.2762022</v>
      </c>
      <c r="D48" s="48" t="n">
        <f aca="false">COUNTIFS(Data!$M$2:$M$1001,$A48)</f>
        <v>77</v>
      </c>
      <c r="E48" s="49" t="n">
        <f aca="false">IF(D48=0,0,C48*$B$3/D48)</f>
        <v>163995.067792208</v>
      </c>
      <c r="F48" s="50" t="n">
        <f aca="false">IF(C47=0,0,C48/C47-1)</f>
        <v>0.0101339383653376</v>
      </c>
    </row>
    <row r="49" customFormat="false" ht="15" hidden="false" customHeight="false" outlineLevel="0" collapsed="false">
      <c r="A49" s="45" t="n">
        <v>45992</v>
      </c>
      <c r="B49" s="46" t="str">
        <f aca="false">TEXT(A49,"mmm-yy")</f>
        <v>Dec-25</v>
      </c>
      <c r="C49" s="47" t="n">
        <f aca="false">SUMIFS(Data!$L$2:$L$1001,Data!$M$2:$M$1001,$A49)/$B$3</f>
        <v>122.9990444</v>
      </c>
      <c r="D49" s="48" t="n">
        <f aca="false">COUNTIFS(Data!$M$2:$M$1001,$A49)</f>
        <v>98</v>
      </c>
      <c r="E49" s="49" t="n">
        <f aca="false">IF(D49=0,0,C49*$B$3/D49)</f>
        <v>125509.228979592</v>
      </c>
      <c r="F49" s="50" t="n">
        <f aca="false">IF(C48=0,0,C49/C48-1)</f>
        <v>-0.0259522993478182</v>
      </c>
    </row>
    <row r="50" customFormat="false" ht="15" hidden="false" customHeight="false" outlineLevel="0" collapsed="false">
      <c r="A50" s="51" t="s">
        <v>193</v>
      </c>
      <c r="B50" s="51"/>
      <c r="C50" s="52" t="n">
        <f aca="false">SUM(C38:C49)</f>
        <v>1385.9004966</v>
      </c>
      <c r="D50" s="53" t="n">
        <f aca="false">SUM(D38:D49)</f>
        <v>995</v>
      </c>
      <c r="E50" s="54" t="n">
        <f aca="false">IF(D50=0,0,C50*$B$3/D50)</f>
        <v>139286.482070352</v>
      </c>
      <c r="F50" s="51"/>
    </row>
    <row r="51" customFormat="false" ht="15" hidden="false" customHeight="false" outlineLevel="0" collapsed="false">
      <c r="A51" s="55" t="s">
        <v>194</v>
      </c>
      <c r="B51" s="55"/>
      <c r="C51" s="56" t="n">
        <f aca="false">SUMIFS(Data!$L$2:$L$1001,Data!$B$2:$B$1001,"&gt;="&amp;DATE(2026,1,1))/$B$3</f>
        <v>8.0938999</v>
      </c>
      <c r="D51" s="57" t="n">
        <f aca="false">COUNTIFS(Data!$B$2:$B$1001,"&gt;="&amp;DATE(2026,1,1))</f>
        <v>5</v>
      </c>
      <c r="E51" s="55"/>
      <c r="F51" s="55"/>
    </row>
    <row r="52" customFormat="false" ht="15" hidden="false" customHeight="false" outlineLevel="0" collapsed="false">
      <c r="A52" s="55" t="s">
        <v>195</v>
      </c>
      <c r="B52" s="55"/>
      <c r="C52" s="58" t="n">
        <f aca="false">ROUND(C50+C51-$B$7/$B$3,6)</f>
        <v>0</v>
      </c>
      <c r="D52" s="55"/>
      <c r="E52" s="55"/>
      <c r="F52" s="55"/>
    </row>
    <row r="56" customFormat="false" ht="15" hidden="false" customHeight="false" outlineLevel="0" collapsed="false">
      <c r="A56" s="44" t="s">
        <v>196</v>
      </c>
    </row>
    <row r="57" customFormat="false" ht="15" hidden="false" customHeight="false" outlineLevel="0" collapsed="false">
      <c r="A57" s="20" t="s">
        <v>197</v>
      </c>
      <c r="B57" s="20" t="s">
        <v>189</v>
      </c>
      <c r="C57" s="20" t="s">
        <v>190</v>
      </c>
      <c r="D57" s="20" t="s">
        <v>198</v>
      </c>
      <c r="E57" s="20" t="s">
        <v>191</v>
      </c>
      <c r="F57" s="20" t="s">
        <v>199</v>
      </c>
    </row>
    <row r="58" customFormat="false" ht="15" hidden="false" customHeight="false" outlineLevel="0" collapsed="false">
      <c r="A58" s="46" t="s">
        <v>200</v>
      </c>
      <c r="B58" s="47" t="n">
        <f aca="false">SUMIFS(Data!$L$2:$L$1001,Data!$I$2:$I$1001,$A58)/$B$3</f>
        <v>507.785817</v>
      </c>
      <c r="C58" s="48" t="n">
        <f aca="false">COUNTIFS(Data!$I$2:$I$1001,$A58)</f>
        <v>354</v>
      </c>
      <c r="D58" s="48" t="n">
        <f aca="false">SUMIFS(Data!$J$2:$J$1001,Data!$I$2:$I$1001,$A58)</f>
        <v>1978</v>
      </c>
      <c r="E58" s="49" t="n">
        <f aca="false">IF(C58=0,0,B58*$B$3/C58)</f>
        <v>143442.321186441</v>
      </c>
      <c r="F58" s="59" t="n">
        <f aca="false">B58/$B$63</f>
        <v>0.364266756218629</v>
      </c>
    </row>
    <row r="59" customFormat="false" ht="15" hidden="false" customHeight="false" outlineLevel="0" collapsed="false">
      <c r="A59" s="46" t="s">
        <v>201</v>
      </c>
      <c r="B59" s="47" t="n">
        <f aca="false">SUMIFS(Data!$L$2:$L$1001,Data!$I$2:$I$1001,$A59)/$B$3</f>
        <v>250.316894</v>
      </c>
      <c r="C59" s="48" t="n">
        <f aca="false">COUNTIFS(Data!$I$2:$I$1001,$A59)</f>
        <v>178</v>
      </c>
      <c r="D59" s="48" t="n">
        <f aca="false">SUMIFS(Data!$J$2:$J$1001,Data!$I$2:$I$1001,$A59)</f>
        <v>977</v>
      </c>
      <c r="E59" s="49" t="n">
        <f aca="false">IF(C59=0,0,B59*$B$3/C59)</f>
        <v>140627.468539326</v>
      </c>
      <c r="F59" s="59" t="n">
        <f aca="false">B59/$B$63</f>
        <v>0.179568077625339</v>
      </c>
    </row>
    <row r="60" customFormat="false" ht="15" hidden="false" customHeight="false" outlineLevel="0" collapsed="false">
      <c r="A60" s="46" t="s">
        <v>202</v>
      </c>
      <c r="B60" s="47" t="n">
        <f aca="false">SUMIFS(Data!$L$2:$L$1001,Data!$I$2:$I$1001,$A60)/$B$3</f>
        <v>222.3171128</v>
      </c>
      <c r="C60" s="48" t="n">
        <f aca="false">COUNTIFS(Data!$I$2:$I$1001,$A60)</f>
        <v>153</v>
      </c>
      <c r="D60" s="48" t="n">
        <f aca="false">SUMIFS(Data!$J$2:$J$1001,Data!$I$2:$I$1001,$A60)</f>
        <v>826</v>
      </c>
      <c r="E60" s="49" t="n">
        <f aca="false">IF(C60=0,0,B60*$B$3/C60)</f>
        <v>145305.30248366</v>
      </c>
      <c r="F60" s="59" t="n">
        <f aca="false">B60/$B$63</f>
        <v>0.159482070629686</v>
      </c>
    </row>
    <row r="61" customFormat="false" ht="15" hidden="false" customHeight="false" outlineLevel="0" collapsed="false">
      <c r="A61" s="46" t="s">
        <v>203</v>
      </c>
      <c r="B61" s="47" t="n">
        <f aca="false">SUMIFS(Data!$L$2:$L$1001,Data!$I$2:$I$1001,$A61)/$B$3</f>
        <v>215.2156148</v>
      </c>
      <c r="C61" s="48" t="n">
        <f aca="false">COUNTIFS(Data!$I$2:$I$1001,$A61)</f>
        <v>159</v>
      </c>
      <c r="D61" s="48" t="n">
        <f aca="false">SUMIFS(Data!$J$2:$J$1001,Data!$I$2:$I$1001,$A61)</f>
        <v>855</v>
      </c>
      <c r="E61" s="49" t="n">
        <f aca="false">IF(C61=0,0,B61*$B$3/C61)</f>
        <v>135355.732578616</v>
      </c>
      <c r="F61" s="59" t="n">
        <f aca="false">B61/$B$63</f>
        <v>0.154387718731407</v>
      </c>
    </row>
    <row r="62" customFormat="false" ht="15" hidden="false" customHeight="false" outlineLevel="0" collapsed="false">
      <c r="A62" s="46" t="s">
        <v>204</v>
      </c>
      <c r="B62" s="47" t="n">
        <f aca="false">SUMIFS(Data!$L$2:$L$1001,Data!$I$2:$I$1001,$A62)/$B$3</f>
        <v>198.3589579</v>
      </c>
      <c r="C62" s="48" t="n">
        <f aca="false">COUNTIFS(Data!$I$2:$I$1001,$A62)</f>
        <v>156</v>
      </c>
      <c r="D62" s="48" t="n">
        <f aca="false">SUMIFS(Data!$J$2:$J$1001,Data!$I$2:$I$1001,$A62)</f>
        <v>799</v>
      </c>
      <c r="E62" s="49" t="n">
        <f aca="false">IF(C62=0,0,B62*$B$3/C62)</f>
        <v>127153.178141026</v>
      </c>
      <c r="F62" s="59" t="n">
        <f aca="false">B62/$B$63</f>
        <v>0.142295376794938</v>
      </c>
    </row>
    <row r="63" customFormat="false" ht="15" hidden="false" customHeight="false" outlineLevel="0" collapsed="false">
      <c r="A63" s="51" t="s">
        <v>205</v>
      </c>
      <c r="B63" s="52" t="n">
        <f aca="false">SUM(B58:B62)</f>
        <v>1393.9943965</v>
      </c>
      <c r="C63" s="53" t="n">
        <f aca="false">SUM(C58:C62)</f>
        <v>1000</v>
      </c>
      <c r="D63" s="53" t="n">
        <f aca="false">SUM(D58:D62)</f>
        <v>5435</v>
      </c>
      <c r="E63" s="54" t="n">
        <f aca="false">IF(C63=0,0,B63*$B$3/C63)</f>
        <v>139399.43965</v>
      </c>
      <c r="F63" s="60" t="n">
        <f aca="false">B63/$B$63</f>
        <v>1</v>
      </c>
    </row>
    <row r="66" customFormat="false" ht="15" hidden="false" customHeight="false" outlineLevel="0" collapsed="false">
      <c r="A66" s="44" t="s">
        <v>206</v>
      </c>
    </row>
    <row r="67" customFormat="false" ht="15" hidden="false" customHeight="false" outlineLevel="0" collapsed="false">
      <c r="A67" s="20" t="s">
        <v>207</v>
      </c>
      <c r="B67" s="20" t="s">
        <v>189</v>
      </c>
      <c r="C67" s="20" t="s">
        <v>190</v>
      </c>
      <c r="D67" s="20" t="s">
        <v>198</v>
      </c>
      <c r="E67" s="20" t="s">
        <v>191</v>
      </c>
      <c r="F67" s="20" t="s">
        <v>199</v>
      </c>
      <c r="G67" s="20" t="s">
        <v>197</v>
      </c>
    </row>
    <row r="68" customFormat="false" ht="15" hidden="false" customHeight="false" outlineLevel="0" collapsed="false">
      <c r="A68" s="46" t="s">
        <v>208</v>
      </c>
      <c r="B68" s="47" t="n">
        <f aca="false">SUMIFS(Data!$L$2:$L$1001,Data!$H$2:$H$1001,$A68)/$B$3</f>
        <v>254.4300851</v>
      </c>
      <c r="C68" s="48" t="n">
        <f aca="false">COUNTIFS(Data!$H$2:$H$1001,$A68)</f>
        <v>170</v>
      </c>
      <c r="D68" s="48" t="n">
        <f aca="false">SUMIFS(Data!$J$2:$J$1001,Data!$H$2:$H$1001,$A68)</f>
        <v>970</v>
      </c>
      <c r="E68" s="49" t="n">
        <f aca="false">IF(C68=0,0,B68*$B$3/C68)</f>
        <v>149664.755941176</v>
      </c>
      <c r="F68" s="59" t="n">
        <f aca="false">B68/$B$74</f>
        <v>0.182518728725751</v>
      </c>
      <c r="G68" s="46" t="s">
        <v>200</v>
      </c>
    </row>
    <row r="69" customFormat="false" ht="15" hidden="false" customHeight="false" outlineLevel="0" collapsed="false">
      <c r="A69" s="46" t="s">
        <v>209</v>
      </c>
      <c r="B69" s="47" t="n">
        <f aca="false">SUMIFS(Data!$L$2:$L$1001,Data!$H$2:$H$1001,$A69)/$B$3</f>
        <v>253.3557319</v>
      </c>
      <c r="C69" s="48" t="n">
        <f aca="false">COUNTIFS(Data!$H$2:$H$1001,$A69)</f>
        <v>184</v>
      </c>
      <c r="D69" s="48" t="n">
        <f aca="false">SUMIFS(Data!$J$2:$J$1001,Data!$H$2:$H$1001,$A69)</f>
        <v>1008</v>
      </c>
      <c r="E69" s="49" t="n">
        <f aca="false">IF(C69=0,0,B69*$B$3/C69)</f>
        <v>137693.332554348</v>
      </c>
      <c r="F69" s="59" t="n">
        <f aca="false">B69/$B$74</f>
        <v>0.181748027492878</v>
      </c>
      <c r="G69" s="46" t="s">
        <v>200</v>
      </c>
    </row>
    <row r="70" customFormat="false" ht="15" hidden="false" customHeight="false" outlineLevel="0" collapsed="false">
      <c r="A70" s="46" t="s">
        <v>210</v>
      </c>
      <c r="B70" s="47" t="n">
        <f aca="false">SUMIFS(Data!$L$2:$L$1001,Data!$H$2:$H$1001,$A70)/$B$3</f>
        <v>250.316894</v>
      </c>
      <c r="C70" s="48" t="n">
        <f aca="false">COUNTIFS(Data!$H$2:$H$1001,$A70)</f>
        <v>178</v>
      </c>
      <c r="D70" s="48" t="n">
        <f aca="false">SUMIFS(Data!$J$2:$J$1001,Data!$H$2:$H$1001,$A70)</f>
        <v>977</v>
      </c>
      <c r="E70" s="49" t="n">
        <f aca="false">IF(C70=0,0,B70*$B$3/C70)</f>
        <v>140627.468539326</v>
      </c>
      <c r="F70" s="59" t="n">
        <f aca="false">B70/$B$74</f>
        <v>0.179568077625339</v>
      </c>
      <c r="G70" s="46" t="s">
        <v>201</v>
      </c>
    </row>
    <row r="71" customFormat="false" ht="15" hidden="false" customHeight="false" outlineLevel="0" collapsed="false">
      <c r="A71" s="46" t="s">
        <v>211</v>
      </c>
      <c r="B71" s="47" t="n">
        <f aca="false">SUMIFS(Data!$L$2:$L$1001,Data!$H$2:$H$1001,$A71)/$B$3</f>
        <v>222.3171128</v>
      </c>
      <c r="C71" s="48" t="n">
        <f aca="false">COUNTIFS(Data!$H$2:$H$1001,$A71)</f>
        <v>153</v>
      </c>
      <c r="D71" s="48" t="n">
        <f aca="false">SUMIFS(Data!$J$2:$J$1001,Data!$H$2:$H$1001,$A71)</f>
        <v>826</v>
      </c>
      <c r="E71" s="49" t="n">
        <f aca="false">IF(C71=0,0,B71*$B$3/C71)</f>
        <v>145305.30248366</v>
      </c>
      <c r="F71" s="59" t="n">
        <f aca="false">B71/$B$74</f>
        <v>0.159482070629686</v>
      </c>
      <c r="G71" s="46" t="s">
        <v>202</v>
      </c>
    </row>
    <row r="72" customFormat="false" ht="15" hidden="false" customHeight="false" outlineLevel="0" collapsed="false">
      <c r="A72" s="46" t="s">
        <v>212</v>
      </c>
      <c r="B72" s="47" t="n">
        <f aca="false">SUMIFS(Data!$L$2:$L$1001,Data!$H$2:$H$1001,$A72)/$B$3</f>
        <v>215.2156148</v>
      </c>
      <c r="C72" s="48" t="n">
        <f aca="false">COUNTIFS(Data!$H$2:$H$1001,$A72)</f>
        <v>159</v>
      </c>
      <c r="D72" s="48" t="n">
        <f aca="false">SUMIFS(Data!$J$2:$J$1001,Data!$H$2:$H$1001,$A72)</f>
        <v>855</v>
      </c>
      <c r="E72" s="49" t="n">
        <f aca="false">IF(C72=0,0,B72*$B$3/C72)</f>
        <v>135355.732578616</v>
      </c>
      <c r="F72" s="59" t="n">
        <f aca="false">B72/$B$74</f>
        <v>0.154387718731407</v>
      </c>
      <c r="G72" s="46" t="s">
        <v>203</v>
      </c>
    </row>
    <row r="73" customFormat="false" ht="15" hidden="false" customHeight="false" outlineLevel="0" collapsed="false">
      <c r="A73" s="46" t="s">
        <v>213</v>
      </c>
      <c r="B73" s="47" t="n">
        <f aca="false">SUMIFS(Data!$L$2:$L$1001,Data!$H$2:$H$1001,$A73)/$B$3</f>
        <v>198.3589579</v>
      </c>
      <c r="C73" s="48" t="n">
        <f aca="false">COUNTIFS(Data!$H$2:$H$1001,$A73)</f>
        <v>156</v>
      </c>
      <c r="D73" s="48" t="n">
        <f aca="false">SUMIFS(Data!$J$2:$J$1001,Data!$H$2:$H$1001,$A73)</f>
        <v>799</v>
      </c>
      <c r="E73" s="49" t="n">
        <f aca="false">IF(C73=0,0,B73*$B$3/C73)</f>
        <v>127153.178141026</v>
      </c>
      <c r="F73" s="59" t="n">
        <f aca="false">B73/$B$74</f>
        <v>0.142295376794938</v>
      </c>
      <c r="G73" s="46" t="s">
        <v>204</v>
      </c>
    </row>
    <row r="74" customFormat="false" ht="15" hidden="false" customHeight="false" outlineLevel="0" collapsed="false">
      <c r="A74" s="51" t="s">
        <v>205</v>
      </c>
      <c r="B74" s="52" t="n">
        <f aca="false">SUM(B68:B73)</f>
        <v>1393.9943965</v>
      </c>
      <c r="C74" s="53" t="n">
        <f aca="false">SUM(C68:C73)</f>
        <v>1000</v>
      </c>
      <c r="D74" s="53" t="n">
        <f aca="false">SUM(D68:D73)</f>
        <v>5435</v>
      </c>
      <c r="E74" s="54" t="n">
        <f aca="false">IF(C74=0,0,B74*$B$3/C74)</f>
        <v>139399.43965</v>
      </c>
      <c r="F74" s="60" t="n">
        <f aca="false">B74/$B$74</f>
        <v>1</v>
      </c>
      <c r="G74" s="61"/>
    </row>
    <row r="77" customFormat="false" ht="15" hidden="false" customHeight="false" outlineLevel="0" collapsed="false">
      <c r="A77" s="44" t="s">
        <v>214</v>
      </c>
    </row>
    <row r="78" customFormat="false" ht="15" hidden="false" customHeight="false" outlineLevel="0" collapsed="false">
      <c r="A78" s="20" t="s">
        <v>215</v>
      </c>
      <c r="B78" s="20" t="s">
        <v>189</v>
      </c>
      <c r="C78" s="20" t="s">
        <v>190</v>
      </c>
      <c r="D78" s="20" t="s">
        <v>198</v>
      </c>
      <c r="E78" s="20" t="s">
        <v>191</v>
      </c>
      <c r="F78" s="20" t="s">
        <v>199</v>
      </c>
    </row>
    <row r="79" customFormat="false" ht="15" hidden="false" customHeight="false" outlineLevel="0" collapsed="false">
      <c r="A79" s="46" t="s">
        <v>216</v>
      </c>
      <c r="B79" s="47" t="n">
        <f aca="false">SUMIFS(Data!$L$2:$L$1001,Data!$N$2:$N$1001,$A79)/$B$3</f>
        <v>192.8596689</v>
      </c>
      <c r="C79" s="48" t="n">
        <f aca="false">COUNTIFS(Data!$N$2:$N$1001,$A79)</f>
        <v>135</v>
      </c>
      <c r="D79" s="48" t="n">
        <f aca="false">SUMIFS(Data!$J$2:$J$1001,Data!$N$2:$N$1001,$A79)</f>
        <v>753</v>
      </c>
      <c r="E79" s="49" t="n">
        <f aca="false">IF(C79=0,0,B79*$B$3/C79)</f>
        <v>142859.014</v>
      </c>
      <c r="F79" s="59" t="n">
        <f aca="false">B79/$B$88</f>
        <v>0.138350390348933</v>
      </c>
    </row>
    <row r="80" customFormat="false" ht="15" hidden="false" customHeight="false" outlineLevel="0" collapsed="false">
      <c r="A80" s="46" t="s">
        <v>217</v>
      </c>
      <c r="B80" s="47" t="n">
        <f aca="false">SUMIFS(Data!$L$2:$L$1001,Data!$N$2:$N$1001,$A80)/$B$3</f>
        <v>188.8434957</v>
      </c>
      <c r="C80" s="48" t="n">
        <f aca="false">COUNTIFS(Data!$N$2:$N$1001,$A80)</f>
        <v>133</v>
      </c>
      <c r="D80" s="48" t="n">
        <f aca="false">SUMIFS(Data!$J$2:$J$1001,Data!$N$2:$N$1001,$A80)</f>
        <v>748</v>
      </c>
      <c r="E80" s="49" t="n">
        <f aca="false">IF(C80=0,0,B80*$B$3/C80)</f>
        <v>141987.59075188</v>
      </c>
      <c r="F80" s="59" t="n">
        <f aca="false">B80/$B$88</f>
        <v>0.135469336300162</v>
      </c>
    </row>
    <row r="81" customFormat="false" ht="15" hidden="false" customHeight="false" outlineLevel="0" collapsed="false">
      <c r="A81" s="46" t="s">
        <v>218</v>
      </c>
      <c r="B81" s="47" t="n">
        <f aca="false">SUMIFS(Data!$L$2:$L$1001,Data!$N$2:$N$1001,$A81)/$B$3</f>
        <v>187.7357432</v>
      </c>
      <c r="C81" s="48" t="n">
        <f aca="false">COUNTIFS(Data!$N$2:$N$1001,$A81)</f>
        <v>122</v>
      </c>
      <c r="D81" s="48" t="n">
        <f aca="false">SUMIFS(Data!$J$2:$J$1001,Data!$N$2:$N$1001,$A81)</f>
        <v>670</v>
      </c>
      <c r="E81" s="49" t="n">
        <f aca="false">IF(C81=0,0,B81*$B$3/C81)</f>
        <v>153881.756721311</v>
      </c>
      <c r="F81" s="59" t="n">
        <f aca="false">B81/$B$88</f>
        <v>0.134674675645298</v>
      </c>
    </row>
    <row r="82" customFormat="false" ht="15" hidden="false" customHeight="false" outlineLevel="0" collapsed="false">
      <c r="A82" s="46" t="s">
        <v>219</v>
      </c>
      <c r="B82" s="47" t="n">
        <f aca="false">SUMIFS(Data!$L$2:$L$1001,Data!$N$2:$N$1001,$A82)/$B$3</f>
        <v>187.5705017</v>
      </c>
      <c r="C82" s="48" t="n">
        <f aca="false">COUNTIFS(Data!$N$2:$N$1001,$A82)</f>
        <v>131</v>
      </c>
      <c r="D82" s="48" t="n">
        <f aca="false">SUMIFS(Data!$J$2:$J$1001,Data!$N$2:$N$1001,$A82)</f>
        <v>707</v>
      </c>
      <c r="E82" s="49" t="n">
        <f aca="false">IF(C82=0,0,B82*$B$3/C82)</f>
        <v>143183.589083969</v>
      </c>
      <c r="F82" s="59" t="n">
        <f aca="false">B82/$B$88</f>
        <v>0.134556137507401</v>
      </c>
    </row>
    <row r="83" customFormat="false" ht="15" hidden="false" customHeight="false" outlineLevel="0" collapsed="false">
      <c r="A83" s="46" t="s">
        <v>220</v>
      </c>
      <c r="B83" s="47" t="n">
        <f aca="false">SUMIFS(Data!$L$2:$L$1001,Data!$N$2:$N$1001,$A83)/$B$3</f>
        <v>171.6676687</v>
      </c>
      <c r="C83" s="48" t="n">
        <f aca="false">COUNTIFS(Data!$N$2:$N$1001,$A83)</f>
        <v>125</v>
      </c>
      <c r="D83" s="48" t="n">
        <f aca="false">SUMIFS(Data!$J$2:$J$1001,Data!$N$2:$N$1001,$A83)</f>
        <v>669</v>
      </c>
      <c r="E83" s="49" t="n">
        <f aca="false">IF(C83=0,0,B83*$B$3/C83)</f>
        <v>137334.13496</v>
      </c>
      <c r="F83" s="59" t="n">
        <f aca="false">B83/$B$88</f>
        <v>0.123148033543763</v>
      </c>
    </row>
    <row r="84" customFormat="false" ht="15" hidden="false" customHeight="false" outlineLevel="0" collapsed="false">
      <c r="A84" s="46" t="s">
        <v>221</v>
      </c>
      <c r="B84" s="47" t="n">
        <f aca="false">SUMIFS(Data!$L$2:$L$1001,Data!$N$2:$N$1001,$A84)/$B$3</f>
        <v>160.97079</v>
      </c>
      <c r="C84" s="48" t="n">
        <f aca="false">COUNTIFS(Data!$N$2:$N$1001,$A84)</f>
        <v>125</v>
      </c>
      <c r="D84" s="48" t="n">
        <f aca="false">SUMIFS(Data!$J$2:$J$1001,Data!$N$2:$N$1001,$A84)</f>
        <v>662</v>
      </c>
      <c r="E84" s="49" t="n">
        <f aca="false">IF(C84=0,0,B84*$B$3/C84)</f>
        <v>128776.632</v>
      </c>
      <c r="F84" s="59" t="n">
        <f aca="false">B84/$B$88</f>
        <v>0.11547448856621</v>
      </c>
    </row>
    <row r="85" customFormat="false" ht="15" hidden="false" customHeight="false" outlineLevel="0" collapsed="false">
      <c r="A85" s="46" t="s">
        <v>222</v>
      </c>
      <c r="B85" s="47" t="n">
        <f aca="false">SUMIFS(Data!$L$2:$L$1001,Data!$N$2:$N$1001,$A85)/$B$3</f>
        <v>145.131759</v>
      </c>
      <c r="C85" s="48" t="n">
        <f aca="false">COUNTIFS(Data!$N$2:$N$1001,$A85)</f>
        <v>99</v>
      </c>
      <c r="D85" s="48" t="n">
        <f aca="false">SUMIFS(Data!$J$2:$J$1001,Data!$N$2:$N$1001,$A85)</f>
        <v>552</v>
      </c>
      <c r="E85" s="49" t="n">
        <f aca="false">IF(C85=0,0,B85*$B$3/C85)</f>
        <v>146597.736363636</v>
      </c>
      <c r="F85" s="59" t="n">
        <f aca="false">B85/$B$88</f>
        <v>0.104112153796595</v>
      </c>
    </row>
    <row r="86" customFormat="false" ht="15" hidden="false" customHeight="false" outlineLevel="0" collapsed="false">
      <c r="A86" s="46" t="s">
        <v>223</v>
      </c>
      <c r="B86" s="47" t="n">
        <f aca="false">SUMIFS(Data!$L$2:$L$1001,Data!$N$2:$N$1001,$A86)/$B$3</f>
        <v>143.8085939</v>
      </c>
      <c r="C86" s="48" t="n">
        <f aca="false">COUNTIFS(Data!$N$2:$N$1001,$A86)</f>
        <v>117</v>
      </c>
      <c r="D86" s="48" t="n">
        <f aca="false">SUMIFS(Data!$J$2:$J$1001,Data!$N$2:$N$1001,$A86)</f>
        <v>609</v>
      </c>
      <c r="E86" s="49" t="n">
        <f aca="false">IF(C86=0,0,B86*$B$3/C86)</f>
        <v>122913.328119658</v>
      </c>
      <c r="F86" s="59" t="n">
        <f aca="false">B86/$B$88</f>
        <v>0.103162964113106</v>
      </c>
    </row>
    <row r="87" customFormat="false" ht="15" hidden="false" customHeight="false" outlineLevel="0" collapsed="false">
      <c r="A87" s="46" t="s">
        <v>224</v>
      </c>
      <c r="B87" s="47" t="n">
        <f aca="false">SUMIFS(Data!$L$2:$L$1001,Data!$N$2:$N$1001,$A87)/$B$3</f>
        <v>15.4061754</v>
      </c>
      <c r="C87" s="48" t="n">
        <f aca="false">COUNTIFS(Data!$N$2:$N$1001,$A87)</f>
        <v>13</v>
      </c>
      <c r="D87" s="48" t="n">
        <f aca="false">SUMIFS(Data!$J$2:$J$1001,Data!$N$2:$N$1001,$A87)</f>
        <v>65</v>
      </c>
      <c r="E87" s="49" t="n">
        <f aca="false">IF(C87=0,0,B87*$B$3/C87)</f>
        <v>118509.041538462</v>
      </c>
      <c r="F87" s="59" t="n">
        <f aca="false">B87/$B$88</f>
        <v>0.0110518201785325</v>
      </c>
    </row>
    <row r="88" customFormat="false" ht="15" hidden="false" customHeight="false" outlineLevel="0" collapsed="false">
      <c r="A88" s="51" t="s">
        <v>205</v>
      </c>
      <c r="B88" s="52" t="n">
        <f aca="false">SUM(B79:B87)</f>
        <v>1393.9943965</v>
      </c>
      <c r="C88" s="53" t="n">
        <f aca="false">SUM(C79:C87)</f>
        <v>1000</v>
      </c>
      <c r="D88" s="53" t="n">
        <f aca="false">SUM(D79:D87)</f>
        <v>5435</v>
      </c>
      <c r="E88" s="54" t="n">
        <f aca="false">IF(C88=0,0,B88*$B$3/C88)</f>
        <v>139399.43965</v>
      </c>
      <c r="F88" s="60" t="n">
        <f aca="false">B88/$B$88</f>
        <v>1</v>
      </c>
    </row>
    <row r="91" customFormat="false" ht="15" hidden="false" customHeight="false" outlineLevel="0" collapsed="false">
      <c r="A91" s="44" t="s">
        <v>225</v>
      </c>
    </row>
    <row r="92" customFormat="false" ht="15" hidden="false" customHeight="false" outlineLevel="0" collapsed="false">
      <c r="A92" s="20" t="s">
        <v>226</v>
      </c>
      <c r="B92" s="20" t="s">
        <v>189</v>
      </c>
      <c r="C92" s="20" t="s">
        <v>190</v>
      </c>
      <c r="D92" s="20" t="s">
        <v>198</v>
      </c>
      <c r="E92" s="20" t="s">
        <v>191</v>
      </c>
      <c r="F92" s="20" t="s">
        <v>199</v>
      </c>
    </row>
    <row r="93" customFormat="false" ht="15" hidden="false" customHeight="false" outlineLevel="0" collapsed="false">
      <c r="A93" s="46" t="s">
        <v>227</v>
      </c>
      <c r="B93" s="47" t="n">
        <f aca="false">SUMIFS(Data!$L$2:$L$1001,Data!$O$2:$O$1001,$A93)/$B$3</f>
        <v>222.8409694</v>
      </c>
      <c r="C93" s="48" t="n">
        <f aca="false">COUNTIFS(Data!$O$2:$O$1001,$A93)</f>
        <v>158</v>
      </c>
      <c r="D93" s="48" t="n">
        <f aca="false">SUMIFS(Data!$J$2:$J$1001,Data!$O$2:$O$1001,$A93)</f>
        <v>861</v>
      </c>
      <c r="E93" s="49" t="n">
        <f aca="false">IF(C93=0,0,B93*$B$3/C93)</f>
        <v>141038.588227848</v>
      </c>
      <c r="F93" s="59" t="n">
        <f aca="false">B93/$B$99</f>
        <v>0.159857865970984</v>
      </c>
    </row>
    <row r="94" customFormat="false" ht="15" hidden="false" customHeight="false" outlineLevel="0" collapsed="false">
      <c r="A94" s="46" t="s">
        <v>228</v>
      </c>
      <c r="B94" s="47" t="n">
        <f aca="false">SUMIFS(Data!$L$2:$L$1001,Data!$O$2:$O$1001,$A94)/$B$3</f>
        <v>296.3233696</v>
      </c>
      <c r="C94" s="48" t="n">
        <f aca="false">COUNTIFS(Data!$O$2:$O$1001,$A94)</f>
        <v>219</v>
      </c>
      <c r="D94" s="48" t="n">
        <f aca="false">SUMIFS(Data!$J$2:$J$1001,Data!$O$2:$O$1001,$A94)</f>
        <v>1223</v>
      </c>
      <c r="E94" s="49" t="n">
        <f aca="false">IF(C94=0,0,B94*$B$3/C94)</f>
        <v>135307.474703196</v>
      </c>
      <c r="F94" s="59" t="n">
        <f aca="false">B94/$B$99</f>
        <v>0.212571420906712</v>
      </c>
    </row>
    <row r="95" customFormat="false" ht="15" hidden="false" customHeight="false" outlineLevel="0" collapsed="false">
      <c r="A95" s="46" t="s">
        <v>229</v>
      </c>
      <c r="B95" s="47" t="n">
        <f aca="false">SUMIFS(Data!$L$2:$L$1001,Data!$O$2:$O$1001,$A95)/$B$3</f>
        <v>280.4464924</v>
      </c>
      <c r="C95" s="48" t="n">
        <f aca="false">COUNTIFS(Data!$O$2:$O$1001,$A95)</f>
        <v>203</v>
      </c>
      <c r="D95" s="48" t="n">
        <f aca="false">SUMIFS(Data!$J$2:$J$1001,Data!$O$2:$O$1001,$A95)</f>
        <v>1089</v>
      </c>
      <c r="E95" s="49" t="n">
        <f aca="false">IF(C95=0,0,B95*$B$3/C95)</f>
        <v>138150.981477833</v>
      </c>
      <c r="F95" s="59" t="n">
        <f aca="false">B95/$B$99</f>
        <v>0.201181936673588</v>
      </c>
    </row>
    <row r="96" customFormat="false" ht="15" hidden="false" customHeight="false" outlineLevel="0" collapsed="false">
      <c r="A96" s="46" t="s">
        <v>230</v>
      </c>
      <c r="B96" s="47" t="n">
        <f aca="false">SUMIFS(Data!$L$2:$L$1001,Data!$O$2:$O$1001,$A96)/$B$3</f>
        <v>282.1650863</v>
      </c>
      <c r="C96" s="48" t="n">
        <f aca="false">COUNTIFS(Data!$O$2:$O$1001,$A96)</f>
        <v>202</v>
      </c>
      <c r="D96" s="48" t="n">
        <f aca="false">SUMIFS(Data!$J$2:$J$1001,Data!$O$2:$O$1001,$A96)</f>
        <v>1066</v>
      </c>
      <c r="E96" s="49" t="n">
        <f aca="false">IF(C96=0,0,B96*$B$3/C96)</f>
        <v>139685.686287129</v>
      </c>
      <c r="F96" s="59" t="n">
        <f aca="false">B96/$B$99</f>
        <v>0.202414792346692</v>
      </c>
    </row>
    <row r="97" customFormat="false" ht="15" hidden="false" customHeight="false" outlineLevel="0" collapsed="false">
      <c r="A97" s="46" t="s">
        <v>231</v>
      </c>
      <c r="B97" s="47" t="n">
        <f aca="false">SUMIFS(Data!$L$2:$L$1001,Data!$O$2:$O$1001,$A97)/$B$3</f>
        <v>277.3325141</v>
      </c>
      <c r="C97" s="48" t="n">
        <f aca="false">COUNTIFS(Data!$O$2:$O$1001,$A97)</f>
        <v>198</v>
      </c>
      <c r="D97" s="48" t="n">
        <f aca="false">SUMIFS(Data!$J$2:$J$1001,Data!$O$2:$O$1001,$A97)</f>
        <v>1051</v>
      </c>
      <c r="E97" s="49" t="n">
        <f aca="false">IF(C97=0,0,B97*$B$3/C97)</f>
        <v>140066.926313131</v>
      </c>
      <c r="F97" s="59" t="n">
        <f aca="false">B97/$B$99</f>
        <v>0.198948083863406</v>
      </c>
    </row>
    <row r="98" customFormat="false" ht="15" hidden="false" customHeight="false" outlineLevel="0" collapsed="false">
      <c r="A98" s="46" t="s">
        <v>224</v>
      </c>
      <c r="B98" s="47" t="n">
        <f aca="false">SUMIFS(Data!$L$2:$L$1001,Data!$O$2:$O$1001,$A98)/$B$3</f>
        <v>34.8859647</v>
      </c>
      <c r="C98" s="48" t="n">
        <f aca="false">COUNTIFS(Data!$O$2:$O$1001,$A98)</f>
        <v>20</v>
      </c>
      <c r="D98" s="48" t="n">
        <f aca="false">SUMIFS(Data!$J$2:$J$1001,Data!$O$2:$O$1001,$A98)</f>
        <v>145</v>
      </c>
      <c r="E98" s="49" t="n">
        <f aca="false">IF(C98=0,0,B98*$B$3/C98)</f>
        <v>174429.8235</v>
      </c>
      <c r="F98" s="59" t="n">
        <f aca="false">B98/$B$99</f>
        <v>0.0250259002386169</v>
      </c>
    </row>
    <row r="99" customFormat="false" ht="15" hidden="false" customHeight="false" outlineLevel="0" collapsed="false">
      <c r="A99" s="51" t="s">
        <v>205</v>
      </c>
      <c r="B99" s="52" t="n">
        <f aca="false">SUM(B93:B98)</f>
        <v>1393.9943965</v>
      </c>
      <c r="C99" s="53" t="n">
        <f aca="false">SUM(C93:C98)</f>
        <v>1000</v>
      </c>
      <c r="D99" s="53" t="n">
        <f aca="false">SUM(D93:D98)</f>
        <v>5435</v>
      </c>
      <c r="E99" s="54" t="n">
        <f aca="false">IF(C99=0,0,B99*$B$3/C99)</f>
        <v>139399.43965</v>
      </c>
      <c r="F99" s="60" t="n">
        <f aca="false">B99/$B$99</f>
        <v>1</v>
      </c>
    </row>
    <row r="102" customFormat="false" ht="15" hidden="false" customHeight="false" outlineLevel="0" collapsed="false">
      <c r="A102" s="44" t="s">
        <v>232</v>
      </c>
    </row>
    <row r="103" customFormat="false" ht="15" hidden="false" customHeight="false" outlineLevel="0" collapsed="false">
      <c r="A103" s="20" t="s">
        <v>233</v>
      </c>
      <c r="B103" s="20" t="s">
        <v>189</v>
      </c>
      <c r="C103" s="20" t="s">
        <v>190</v>
      </c>
      <c r="D103" s="20" t="s">
        <v>198</v>
      </c>
      <c r="E103" s="20" t="s">
        <v>191</v>
      </c>
      <c r="F103" s="20" t="s">
        <v>199</v>
      </c>
    </row>
    <row r="104" customFormat="false" ht="15" hidden="false" customHeight="false" outlineLevel="0" collapsed="false">
      <c r="A104" s="46" t="s">
        <v>234</v>
      </c>
      <c r="B104" s="47" t="n">
        <f aca="false">SUMIFS(Data!$L$2:$L$1001,Data!$F$2:$F$1001,$A104)/$B$3</f>
        <v>724.6355063</v>
      </c>
      <c r="C104" s="48" t="n">
        <f aca="false">COUNTIFS(Data!$F$2:$F$1001,$A104)</f>
        <v>511</v>
      </c>
      <c r="D104" s="48" t="n">
        <f aca="false">SUMIFS(Data!$J$2:$J$1001,Data!$F$2:$F$1001,$A104)</f>
        <v>2796</v>
      </c>
      <c r="E104" s="49" t="n">
        <f aca="false">IF(C104=0,0,B104*$B$3/C104)</f>
        <v>141807.339784736</v>
      </c>
      <c r="F104" s="59" t="n">
        <f aca="false">B104/$B$106</f>
        <v>0.519826699532935</v>
      </c>
    </row>
    <row r="105" customFormat="false" ht="15" hidden="false" customHeight="false" outlineLevel="0" collapsed="false">
      <c r="A105" s="46" t="s">
        <v>235</v>
      </c>
      <c r="B105" s="47" t="n">
        <f aca="false">SUMIFS(Data!$L$2:$L$1001,Data!$F$2:$F$1001,$A105)/$B$3</f>
        <v>669.3588902</v>
      </c>
      <c r="C105" s="48" t="n">
        <f aca="false">COUNTIFS(Data!$F$2:$F$1001,$A105)</f>
        <v>489</v>
      </c>
      <c r="D105" s="48" t="n">
        <f aca="false">SUMIFS(Data!$J$2:$J$1001,Data!$F$2:$F$1001,$A105)</f>
        <v>2639</v>
      </c>
      <c r="E105" s="49" t="n">
        <f aca="false">IF(C105=0,0,B105*$B$3/C105)</f>
        <v>136883.208629857</v>
      </c>
      <c r="F105" s="59" t="n">
        <f aca="false">B105/$B$106</f>
        <v>0.480173300467065</v>
      </c>
    </row>
    <row r="106" customFormat="false" ht="15" hidden="false" customHeight="false" outlineLevel="0" collapsed="false">
      <c r="A106" s="51" t="s">
        <v>205</v>
      </c>
      <c r="B106" s="52" t="n">
        <f aca="false">SUM(B104:B105)</f>
        <v>1393.9943965</v>
      </c>
      <c r="C106" s="53" t="n">
        <f aca="false">SUM(C104:C105)</f>
        <v>1000</v>
      </c>
      <c r="D106" s="53" t="n">
        <f aca="false">SUM(D104:D105)</f>
        <v>5435</v>
      </c>
      <c r="E106" s="54" t="n">
        <f aca="false">IF(C106=0,0,B106*$B$3/C106)</f>
        <v>139399.43965</v>
      </c>
      <c r="F106" s="60" t="n">
        <f aca="false">B106/$B$106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5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7" min="16" style="0" width="12"/>
  </cols>
  <sheetData>
    <row r="1" customFormat="false" ht="30" hidden="false" customHeight="true" outlineLevel="0" collapsed="false">
      <c r="A1" s="62" t="s">
        <v>236</v>
      </c>
      <c r="B1" s="62" t="s">
        <v>237</v>
      </c>
      <c r="C1" s="62" t="s">
        <v>238</v>
      </c>
      <c r="D1" s="62" t="s">
        <v>239</v>
      </c>
      <c r="E1" s="62" t="s">
        <v>240</v>
      </c>
      <c r="F1" s="62" t="s">
        <v>233</v>
      </c>
      <c r="G1" s="62" t="s">
        <v>215</v>
      </c>
      <c r="H1" s="62" t="s">
        <v>207</v>
      </c>
      <c r="I1" s="62" t="s">
        <v>197</v>
      </c>
      <c r="J1" s="62" t="s">
        <v>241</v>
      </c>
      <c r="K1" s="62" t="s">
        <v>242</v>
      </c>
      <c r="L1" s="62" t="s">
        <v>243</v>
      </c>
      <c r="M1" s="63" t="s">
        <v>244</v>
      </c>
      <c r="N1" s="63" t="s">
        <v>245</v>
      </c>
      <c r="O1" s="63" t="s">
        <v>246</v>
      </c>
      <c r="P1" s="63" t="s">
        <v>247</v>
      </c>
      <c r="Q1" s="63" t="s">
        <v>248</v>
      </c>
    </row>
    <row r="2" customFormat="false" ht="15" hidden="false" customHeight="false" outlineLevel="0" collapsed="false">
      <c r="A2" s="35" t="s">
        <v>249</v>
      </c>
      <c r="B2" s="64" t="n">
        <v>45713</v>
      </c>
      <c r="C2" s="35" t="s">
        <v>250</v>
      </c>
      <c r="D2" s="35" t="s">
        <v>251</v>
      </c>
      <c r="E2" s="35" t="n">
        <v>30</v>
      </c>
      <c r="F2" s="35" t="s">
        <v>235</v>
      </c>
      <c r="G2" s="35" t="s">
        <v>218</v>
      </c>
      <c r="H2" s="35" t="s">
        <v>211</v>
      </c>
      <c r="I2" s="35" t="s">
        <v>202</v>
      </c>
      <c r="J2" s="35" t="n">
        <v>7</v>
      </c>
      <c r="K2" s="65" t="n">
        <v>2829.77</v>
      </c>
      <c r="L2" s="65" t="n">
        <v>19808.39</v>
      </c>
      <c r="M2" s="66" t="n">
        <f aca="false">DATE(YEAR(B2),MONTH(B2),1)</f>
        <v>45689</v>
      </c>
      <c r="N2" s="35" t="str">
        <f aca="false">IF(G2="","Unknown",G2)</f>
        <v>Bengaluru</v>
      </c>
      <c r="O2" s="35" t="str">
        <f aca="false">IF(E2="","Unknown",IF(E2&lt;=25,"18-25",IF(E2&lt;=35,"26-35",IF(E2&lt;=45,"36-45",IF(E2&lt;=55,"46-55","56-65")))))</f>
        <v>26-35</v>
      </c>
      <c r="P2" s="35" t="n">
        <f aca="false">COUNTIF($C$2:$C$1001,C2)</f>
        <v>1</v>
      </c>
      <c r="Q2" s="35" t="n">
        <f aca="false">IF(COUNTIF($C$2:C2,C2)=1,1,0)</f>
        <v>1</v>
      </c>
    </row>
    <row r="3" customFormat="false" ht="15" hidden="false" customHeight="false" outlineLevel="0" collapsed="false">
      <c r="A3" s="35" t="s">
        <v>252</v>
      </c>
      <c r="B3" s="64" t="n">
        <v>45944</v>
      </c>
      <c r="C3" s="35" t="s">
        <v>253</v>
      </c>
      <c r="D3" s="35" t="s">
        <v>254</v>
      </c>
      <c r="E3" s="35" t="n">
        <v>63</v>
      </c>
      <c r="F3" s="35" t="s">
        <v>234</v>
      </c>
      <c r="G3" s="35" t="s">
        <v>218</v>
      </c>
      <c r="H3" s="35" t="s">
        <v>210</v>
      </c>
      <c r="I3" s="35" t="s">
        <v>201</v>
      </c>
      <c r="J3" s="35" t="n">
        <v>5</v>
      </c>
      <c r="K3" s="65" t="n">
        <v>27906.16</v>
      </c>
      <c r="L3" s="65" t="n">
        <v>139530.8</v>
      </c>
      <c r="M3" s="66" t="n">
        <f aca="false">DATE(YEAR(B3),MONTH(B3),1)</f>
        <v>45931</v>
      </c>
      <c r="N3" s="35" t="str">
        <f aca="false">IF(G3="","Unknown",G3)</f>
        <v>Bengaluru</v>
      </c>
      <c r="O3" s="35" t="str">
        <f aca="false">IF(E3="","Unknown",IF(E3&lt;=25,"18-25",IF(E3&lt;=35,"26-35",IF(E3&lt;=45,"36-45",IF(E3&lt;=55,"46-55","56-65")))))</f>
        <v>56-65</v>
      </c>
      <c r="P3" s="35" t="n">
        <f aca="false">COUNTIF($C$2:$C$1001,C3)</f>
        <v>1</v>
      </c>
      <c r="Q3" s="35" t="n">
        <f aca="false">IF(COUNTIF($C$2:C3,C3)=1,1,0)</f>
        <v>1</v>
      </c>
    </row>
    <row r="4" customFormat="false" ht="15" hidden="false" customHeight="false" outlineLevel="0" collapsed="false">
      <c r="A4" s="35" t="s">
        <v>255</v>
      </c>
      <c r="B4" s="64" t="n">
        <v>45790</v>
      </c>
      <c r="C4" s="35" t="s">
        <v>256</v>
      </c>
      <c r="D4" s="35" t="s">
        <v>257</v>
      </c>
      <c r="E4" s="35" t="n">
        <v>62</v>
      </c>
      <c r="F4" s="35" t="s">
        <v>235</v>
      </c>
      <c r="G4" s="35" t="s">
        <v>218</v>
      </c>
      <c r="H4" s="35" t="s">
        <v>210</v>
      </c>
      <c r="I4" s="35" t="s">
        <v>201</v>
      </c>
      <c r="J4" s="35" t="n">
        <v>8</v>
      </c>
      <c r="K4" s="65" t="n">
        <v>37491.06</v>
      </c>
      <c r="L4" s="65" t="n">
        <v>299928.48</v>
      </c>
      <c r="M4" s="66" t="n">
        <f aca="false">DATE(YEAR(B4),MONTH(B4),1)</f>
        <v>45778</v>
      </c>
      <c r="N4" s="35" t="str">
        <f aca="false">IF(G4="","Unknown",G4)</f>
        <v>Bengaluru</v>
      </c>
      <c r="O4" s="35" t="str">
        <f aca="false">IF(E4="","Unknown",IF(E4&lt;=25,"18-25",IF(E4&lt;=35,"26-35",IF(E4&lt;=45,"36-45",IF(E4&lt;=55,"46-55","56-65")))))</f>
        <v>56-65</v>
      </c>
      <c r="P4" s="35" t="n">
        <f aca="false">COUNTIF($C$2:$C$1001,C4)</f>
        <v>1</v>
      </c>
      <c r="Q4" s="35" t="n">
        <f aca="false">IF(COUNTIF($C$2:C4,C4)=1,1,0)</f>
        <v>1</v>
      </c>
    </row>
    <row r="5" customFormat="false" ht="15" hidden="false" customHeight="false" outlineLevel="0" collapsed="false">
      <c r="A5" s="35" t="s">
        <v>258</v>
      </c>
      <c r="B5" s="64" t="n">
        <v>45993</v>
      </c>
      <c r="C5" s="35" t="s">
        <v>259</v>
      </c>
      <c r="D5" s="35" t="s">
        <v>260</v>
      </c>
      <c r="E5" s="35" t="n">
        <v>65</v>
      </c>
      <c r="F5" s="35" t="s">
        <v>235</v>
      </c>
      <c r="G5" s="35" t="s">
        <v>217</v>
      </c>
      <c r="H5" s="35" t="s">
        <v>209</v>
      </c>
      <c r="I5" s="35" t="s">
        <v>200</v>
      </c>
      <c r="J5" s="35" t="n">
        <v>9</v>
      </c>
      <c r="K5" s="65" t="n">
        <v>28541.36</v>
      </c>
      <c r="L5" s="65" t="n">
        <v>256872.24</v>
      </c>
      <c r="M5" s="66" t="n">
        <f aca="false">DATE(YEAR(B5),MONTH(B5),1)</f>
        <v>45992</v>
      </c>
      <c r="N5" s="35" t="str">
        <f aca="false">IF(G5="","Unknown",G5)</f>
        <v>Kolkata</v>
      </c>
      <c r="O5" s="35" t="str">
        <f aca="false">IF(E5="","Unknown",IF(E5&lt;=25,"18-25",IF(E5&lt;=35,"26-35",IF(E5&lt;=45,"36-45",IF(E5&lt;=55,"46-55","56-65")))))</f>
        <v>56-65</v>
      </c>
      <c r="P5" s="35" t="n">
        <f aca="false">COUNTIF($C$2:$C$1001,C5)</f>
        <v>3</v>
      </c>
      <c r="Q5" s="35" t="n">
        <f aca="false">IF(COUNTIF($C$2:C5,C5)=1,1,0)</f>
        <v>1</v>
      </c>
    </row>
    <row r="6" customFormat="false" ht="15" hidden="false" customHeight="false" outlineLevel="0" collapsed="false">
      <c r="A6" s="35" t="s">
        <v>261</v>
      </c>
      <c r="B6" s="64" t="n">
        <v>45981</v>
      </c>
      <c r="C6" s="35" t="s">
        <v>262</v>
      </c>
      <c r="D6" s="35" t="s">
        <v>263</v>
      </c>
      <c r="E6" s="35" t="n">
        <v>44</v>
      </c>
      <c r="F6" s="35" t="s">
        <v>234</v>
      </c>
      <c r="G6" s="35" t="s">
        <v>218</v>
      </c>
      <c r="H6" s="35" t="s">
        <v>211</v>
      </c>
      <c r="I6" s="35" t="s">
        <v>202</v>
      </c>
      <c r="J6" s="35" t="n">
        <v>10</v>
      </c>
      <c r="K6" s="65" t="n">
        <v>14036.59</v>
      </c>
      <c r="L6" s="65" t="n">
        <v>140365.9</v>
      </c>
      <c r="M6" s="66" t="n">
        <f aca="false">DATE(YEAR(B6),MONTH(B6),1)</f>
        <v>45962</v>
      </c>
      <c r="N6" s="35" t="str">
        <f aca="false">IF(G6="","Unknown",G6)</f>
        <v>Bengaluru</v>
      </c>
      <c r="O6" s="35" t="str">
        <f aca="false">IF(E6="","Unknown",IF(E6&lt;=25,"18-25",IF(E6&lt;=35,"26-35",IF(E6&lt;=45,"36-45",IF(E6&lt;=55,"46-55","56-65")))))</f>
        <v>36-45</v>
      </c>
      <c r="P6" s="35" t="n">
        <f aca="false">COUNTIF($C$2:$C$1001,C6)</f>
        <v>1</v>
      </c>
      <c r="Q6" s="35" t="n">
        <f aca="false">IF(COUNTIF($C$2:C6,C6)=1,1,0)</f>
        <v>1</v>
      </c>
    </row>
    <row r="7" customFormat="false" ht="15" hidden="false" customHeight="false" outlineLevel="0" collapsed="false">
      <c r="A7" s="35" t="s">
        <v>264</v>
      </c>
      <c r="B7" s="64" t="n">
        <v>46022</v>
      </c>
      <c r="C7" s="35" t="s">
        <v>265</v>
      </c>
      <c r="D7" s="35" t="s">
        <v>266</v>
      </c>
      <c r="E7" s="35" t="n">
        <v>40</v>
      </c>
      <c r="F7" s="35" t="s">
        <v>235</v>
      </c>
      <c r="G7" s="35" t="s">
        <v>220</v>
      </c>
      <c r="H7" s="35" t="s">
        <v>208</v>
      </c>
      <c r="I7" s="35" t="s">
        <v>200</v>
      </c>
      <c r="J7" s="35" t="n">
        <v>9</v>
      </c>
      <c r="K7" s="65" t="n">
        <v>35947.47</v>
      </c>
      <c r="L7" s="65" t="n">
        <v>323527.23</v>
      </c>
      <c r="M7" s="66" t="n">
        <f aca="false">DATE(YEAR(B7),MONTH(B7),1)</f>
        <v>45992</v>
      </c>
      <c r="N7" s="35" t="str">
        <f aca="false">IF(G7="","Unknown",G7)</f>
        <v>Hyderabad</v>
      </c>
      <c r="O7" s="35" t="str">
        <f aca="false">IF(E7="","Unknown",IF(E7&lt;=25,"18-25",IF(E7&lt;=35,"26-35",IF(E7&lt;=45,"36-45",IF(E7&lt;=55,"46-55","56-65")))))</f>
        <v>36-45</v>
      </c>
      <c r="P7" s="35" t="n">
        <f aca="false">COUNTIF($C$2:$C$1001,C7)</f>
        <v>1</v>
      </c>
      <c r="Q7" s="35" t="n">
        <f aca="false">IF(COUNTIF($C$2:C7,C7)=1,1,0)</f>
        <v>1</v>
      </c>
    </row>
    <row r="8" customFormat="false" ht="15" hidden="false" customHeight="false" outlineLevel="0" collapsed="false">
      <c r="A8" s="35" t="s">
        <v>267</v>
      </c>
      <c r="B8" s="64" t="n">
        <v>45944</v>
      </c>
      <c r="C8" s="35" t="s">
        <v>268</v>
      </c>
      <c r="D8" s="35" t="s">
        <v>269</v>
      </c>
      <c r="E8" s="35" t="n">
        <v>61</v>
      </c>
      <c r="F8" s="35" t="s">
        <v>234</v>
      </c>
      <c r="G8" s="35" t="s">
        <v>216</v>
      </c>
      <c r="H8" s="35" t="s">
        <v>209</v>
      </c>
      <c r="I8" s="35" t="s">
        <v>200</v>
      </c>
      <c r="J8" s="35" t="n">
        <v>6</v>
      </c>
      <c r="K8" s="65" t="n">
        <v>49997.53</v>
      </c>
      <c r="L8" s="65" t="n">
        <v>299985.18</v>
      </c>
      <c r="M8" s="66" t="n">
        <f aca="false">DATE(YEAR(B8),MONTH(B8),1)</f>
        <v>45931</v>
      </c>
      <c r="N8" s="35" t="str">
        <f aca="false">IF(G8="","Unknown",G8)</f>
        <v>Patna</v>
      </c>
      <c r="O8" s="35" t="str">
        <f aca="false">IF(E8="","Unknown",IF(E8&lt;=25,"18-25",IF(E8&lt;=35,"26-35",IF(E8&lt;=45,"36-45",IF(E8&lt;=55,"46-55","56-65")))))</f>
        <v>56-65</v>
      </c>
      <c r="P8" s="35" t="n">
        <f aca="false">COUNTIF($C$2:$C$1001,C8)</f>
        <v>1</v>
      </c>
      <c r="Q8" s="35" t="n">
        <f aca="false">IF(COUNTIF($C$2:C8,C8)=1,1,0)</f>
        <v>1</v>
      </c>
    </row>
    <row r="9" customFormat="false" ht="15" hidden="false" customHeight="false" outlineLevel="0" collapsed="false">
      <c r="A9" s="35" t="s">
        <v>270</v>
      </c>
      <c r="B9" s="64" t="n">
        <v>45996</v>
      </c>
      <c r="C9" s="35" t="s">
        <v>271</v>
      </c>
      <c r="D9" s="35" t="s">
        <v>272</v>
      </c>
      <c r="E9" s="35" t="n">
        <v>35</v>
      </c>
      <c r="F9" s="35" t="s">
        <v>234</v>
      </c>
      <c r="G9" s="35" t="s">
        <v>217</v>
      </c>
      <c r="H9" s="35" t="s">
        <v>208</v>
      </c>
      <c r="I9" s="35" t="s">
        <v>200</v>
      </c>
      <c r="J9" s="35" t="n">
        <v>3</v>
      </c>
      <c r="K9" s="65" t="n">
        <v>9488.83</v>
      </c>
      <c r="L9" s="65" t="n">
        <v>28466.49</v>
      </c>
      <c r="M9" s="66" t="n">
        <f aca="false">DATE(YEAR(B9),MONTH(B9),1)</f>
        <v>45992</v>
      </c>
      <c r="N9" s="35" t="str">
        <f aca="false">IF(G9="","Unknown",G9)</f>
        <v>Kolkata</v>
      </c>
      <c r="O9" s="35" t="str">
        <f aca="false">IF(E9="","Unknown",IF(E9&lt;=25,"18-25",IF(E9&lt;=35,"26-35",IF(E9&lt;=45,"36-45",IF(E9&lt;=55,"46-55","56-65")))))</f>
        <v>26-35</v>
      </c>
      <c r="P9" s="35" t="n">
        <f aca="false">COUNTIF($C$2:$C$1001,C9)</f>
        <v>1</v>
      </c>
      <c r="Q9" s="35" t="n">
        <f aca="false">IF(COUNTIF($C$2:C9,C9)=1,1,0)</f>
        <v>1</v>
      </c>
    </row>
    <row r="10" customFormat="false" ht="15" hidden="false" customHeight="false" outlineLevel="0" collapsed="false">
      <c r="A10" s="35" t="s">
        <v>273</v>
      </c>
      <c r="B10" s="64" t="n">
        <v>45982</v>
      </c>
      <c r="C10" s="35" t="s">
        <v>274</v>
      </c>
      <c r="D10" s="35" t="s">
        <v>275</v>
      </c>
      <c r="E10" s="35" t="n">
        <v>41</v>
      </c>
      <c r="F10" s="35" t="s">
        <v>235</v>
      </c>
      <c r="G10" s="35" t="s">
        <v>219</v>
      </c>
      <c r="H10" s="35" t="s">
        <v>210</v>
      </c>
      <c r="I10" s="35" t="s">
        <v>201</v>
      </c>
      <c r="J10" s="35" t="n">
        <v>6</v>
      </c>
      <c r="K10" s="65" t="n">
        <v>19488.23</v>
      </c>
      <c r="L10" s="65" t="n">
        <v>116929.38</v>
      </c>
      <c r="M10" s="66" t="n">
        <f aca="false">DATE(YEAR(B10),MONTH(B10),1)</f>
        <v>45962</v>
      </c>
      <c r="N10" s="35" t="str">
        <f aca="false">IF(G10="","Unknown",G10)</f>
        <v>Mumbai</v>
      </c>
      <c r="O10" s="35" t="str">
        <f aca="false">IF(E10="","Unknown",IF(E10&lt;=25,"18-25",IF(E10&lt;=35,"26-35",IF(E10&lt;=45,"36-45",IF(E10&lt;=55,"46-55","56-65")))))</f>
        <v>36-45</v>
      </c>
      <c r="P10" s="35" t="n">
        <f aca="false">COUNTIF($C$2:$C$1001,C10)</f>
        <v>1</v>
      </c>
      <c r="Q10" s="35" t="n">
        <f aca="false">IF(COUNTIF($C$2:C10,C10)=1,1,0)</f>
        <v>1</v>
      </c>
    </row>
    <row r="11" customFormat="false" ht="15" hidden="false" customHeight="false" outlineLevel="0" collapsed="false">
      <c r="A11" s="35" t="s">
        <v>276</v>
      </c>
      <c r="B11" s="64" t="n">
        <v>45763</v>
      </c>
      <c r="C11" s="35" t="s">
        <v>277</v>
      </c>
      <c r="D11" s="35" t="s">
        <v>278</v>
      </c>
      <c r="E11" s="35" t="n">
        <v>30</v>
      </c>
      <c r="F11" s="35" t="s">
        <v>234</v>
      </c>
      <c r="G11" s="35" t="s">
        <v>217</v>
      </c>
      <c r="H11" s="35" t="s">
        <v>209</v>
      </c>
      <c r="I11" s="35" t="s">
        <v>200</v>
      </c>
      <c r="J11" s="35" t="n">
        <v>8</v>
      </c>
      <c r="K11" s="65" t="n">
        <v>18024.34</v>
      </c>
      <c r="L11" s="65" t="n">
        <v>144194.72</v>
      </c>
      <c r="M11" s="66" t="n">
        <f aca="false">DATE(YEAR(B11),MONTH(B11),1)</f>
        <v>45748</v>
      </c>
      <c r="N11" s="35" t="str">
        <f aca="false">IF(G11="","Unknown",G11)</f>
        <v>Kolkata</v>
      </c>
      <c r="O11" s="35" t="str">
        <f aca="false">IF(E11="","Unknown",IF(E11&lt;=25,"18-25",IF(E11&lt;=35,"26-35",IF(E11&lt;=45,"36-45",IF(E11&lt;=55,"46-55","56-65")))))</f>
        <v>26-35</v>
      </c>
      <c r="P11" s="35" t="n">
        <f aca="false">COUNTIF($C$2:$C$1001,C11)</f>
        <v>1</v>
      </c>
      <c r="Q11" s="35" t="n">
        <f aca="false">IF(COUNTIF($C$2:C11,C11)=1,1,0)</f>
        <v>1</v>
      </c>
    </row>
    <row r="12" customFormat="false" ht="15" hidden="false" customHeight="false" outlineLevel="0" collapsed="false">
      <c r="A12" s="35" t="s">
        <v>279</v>
      </c>
      <c r="B12" s="64" t="n">
        <v>45782</v>
      </c>
      <c r="C12" s="35" t="s">
        <v>280</v>
      </c>
      <c r="D12" s="35" t="s">
        <v>281</v>
      </c>
      <c r="E12" s="35" t="n">
        <v>51</v>
      </c>
      <c r="F12" s="35" t="s">
        <v>234</v>
      </c>
      <c r="G12" s="35" t="s">
        <v>221</v>
      </c>
      <c r="H12" s="35" t="s">
        <v>213</v>
      </c>
      <c r="I12" s="35" t="s">
        <v>204</v>
      </c>
      <c r="J12" s="35" t="n">
        <v>3</v>
      </c>
      <c r="K12" s="65" t="n">
        <v>14151.42</v>
      </c>
      <c r="L12" s="65" t="n">
        <v>42454.26</v>
      </c>
      <c r="M12" s="66" t="n">
        <f aca="false">DATE(YEAR(B12),MONTH(B12),1)</f>
        <v>45778</v>
      </c>
      <c r="N12" s="35" t="str">
        <f aca="false">IF(G12="","Unknown",G12)</f>
        <v>Delhi</v>
      </c>
      <c r="O12" s="35" t="str">
        <f aca="false">IF(E12="","Unknown",IF(E12&lt;=25,"18-25",IF(E12&lt;=35,"26-35",IF(E12&lt;=45,"36-45",IF(E12&lt;=55,"46-55","56-65")))))</f>
        <v>46-55</v>
      </c>
      <c r="P12" s="35" t="n">
        <f aca="false">COUNTIF($C$2:$C$1001,C12)</f>
        <v>1</v>
      </c>
      <c r="Q12" s="35" t="n">
        <f aca="false">IF(COUNTIF($C$2:C12,C12)=1,1,0)</f>
        <v>1</v>
      </c>
    </row>
    <row r="13" customFormat="false" ht="15" hidden="false" customHeight="false" outlineLevel="0" collapsed="false">
      <c r="A13" s="35" t="s">
        <v>282</v>
      </c>
      <c r="B13" s="64" t="n">
        <v>45779</v>
      </c>
      <c r="C13" s="35" t="s">
        <v>283</v>
      </c>
      <c r="D13" s="35" t="s">
        <v>284</v>
      </c>
      <c r="E13" s="35" t="n">
        <v>55</v>
      </c>
      <c r="F13" s="35" t="s">
        <v>235</v>
      </c>
      <c r="G13" s="35" t="s">
        <v>216</v>
      </c>
      <c r="H13" s="35" t="s">
        <v>212</v>
      </c>
      <c r="I13" s="35" t="s">
        <v>203</v>
      </c>
      <c r="J13" s="35" t="n">
        <v>6</v>
      </c>
      <c r="K13" s="65" t="n">
        <v>47175.43</v>
      </c>
      <c r="L13" s="65" t="n">
        <v>283052.58</v>
      </c>
      <c r="M13" s="66" t="n">
        <f aca="false">DATE(YEAR(B13),MONTH(B13),1)</f>
        <v>45778</v>
      </c>
      <c r="N13" s="35" t="str">
        <f aca="false">IF(G13="","Unknown",G13)</f>
        <v>Patna</v>
      </c>
      <c r="O13" s="35" t="str">
        <f aca="false">IF(E13="","Unknown",IF(E13&lt;=25,"18-25",IF(E13&lt;=35,"26-35",IF(E13&lt;=45,"36-45",IF(E13&lt;=55,"46-55","56-65")))))</f>
        <v>46-55</v>
      </c>
      <c r="P13" s="35" t="n">
        <f aca="false">COUNTIF($C$2:$C$1001,C13)</f>
        <v>1</v>
      </c>
      <c r="Q13" s="35" t="n">
        <f aca="false">IF(COUNTIF($C$2:C13,C13)=1,1,0)</f>
        <v>1</v>
      </c>
    </row>
    <row r="14" customFormat="false" ht="15" hidden="false" customHeight="false" outlineLevel="0" collapsed="false">
      <c r="A14" s="35" t="s">
        <v>285</v>
      </c>
      <c r="B14" s="64" t="n">
        <v>45783</v>
      </c>
      <c r="C14" s="35" t="s">
        <v>286</v>
      </c>
      <c r="D14" s="35" t="s">
        <v>287</v>
      </c>
      <c r="E14" s="35" t="n">
        <v>32</v>
      </c>
      <c r="F14" s="35" t="s">
        <v>234</v>
      </c>
      <c r="G14" s="35" t="s">
        <v>216</v>
      </c>
      <c r="H14" s="35" t="s">
        <v>211</v>
      </c>
      <c r="I14" s="35" t="s">
        <v>202</v>
      </c>
      <c r="J14" s="35" t="n">
        <v>5</v>
      </c>
      <c r="K14" s="65" t="n">
        <v>7413.68</v>
      </c>
      <c r="L14" s="65" t="n">
        <v>37068.4</v>
      </c>
      <c r="M14" s="66" t="n">
        <f aca="false">DATE(YEAR(B14),MONTH(B14),1)</f>
        <v>45778</v>
      </c>
      <c r="N14" s="35" t="str">
        <f aca="false">IF(G14="","Unknown",G14)</f>
        <v>Patna</v>
      </c>
      <c r="O14" s="35" t="str">
        <f aca="false">IF(E14="","Unknown",IF(E14&lt;=25,"18-25",IF(E14&lt;=35,"26-35",IF(E14&lt;=45,"36-45",IF(E14&lt;=55,"46-55","56-65")))))</f>
        <v>26-35</v>
      </c>
      <c r="P14" s="35" t="n">
        <f aca="false">COUNTIF($C$2:$C$1001,C14)</f>
        <v>1</v>
      </c>
      <c r="Q14" s="35" t="n">
        <f aca="false">IF(COUNTIF($C$2:C14,C14)=1,1,0)</f>
        <v>1</v>
      </c>
    </row>
    <row r="15" customFormat="false" ht="15" hidden="false" customHeight="false" outlineLevel="0" collapsed="false">
      <c r="A15" s="35" t="s">
        <v>288</v>
      </c>
      <c r="B15" s="64" t="n">
        <v>45771</v>
      </c>
      <c r="C15" s="35" t="s">
        <v>289</v>
      </c>
      <c r="D15" s="35" t="s">
        <v>290</v>
      </c>
      <c r="E15" s="35" t="n">
        <v>50</v>
      </c>
      <c r="F15" s="35" t="s">
        <v>235</v>
      </c>
      <c r="G15" s="35" t="s">
        <v>216</v>
      </c>
      <c r="H15" s="35" t="s">
        <v>213</v>
      </c>
      <c r="I15" s="35" t="s">
        <v>204</v>
      </c>
      <c r="J15" s="35" t="n">
        <v>8</v>
      </c>
      <c r="K15" s="65" t="n">
        <v>12042.52</v>
      </c>
      <c r="L15" s="65" t="n">
        <v>96340.16</v>
      </c>
      <c r="M15" s="66" t="n">
        <f aca="false">DATE(YEAR(B15),MONTH(B15),1)</f>
        <v>45748</v>
      </c>
      <c r="N15" s="35" t="str">
        <f aca="false">IF(G15="","Unknown",G15)</f>
        <v>Patna</v>
      </c>
      <c r="O15" s="35" t="str">
        <f aca="false">IF(E15="","Unknown",IF(E15&lt;=25,"18-25",IF(E15&lt;=35,"26-35",IF(E15&lt;=45,"36-45",IF(E15&lt;=55,"46-55","56-65")))))</f>
        <v>46-55</v>
      </c>
      <c r="P15" s="35" t="n">
        <f aca="false">COUNTIF($C$2:$C$1001,C15)</f>
        <v>1</v>
      </c>
      <c r="Q15" s="35" t="n">
        <f aca="false">IF(COUNTIF($C$2:C15,C15)=1,1,0)</f>
        <v>1</v>
      </c>
    </row>
    <row r="16" customFormat="false" ht="15" hidden="false" customHeight="false" outlineLevel="0" collapsed="false">
      <c r="A16" s="35" t="s">
        <v>291</v>
      </c>
      <c r="B16" s="64" t="n">
        <v>45728</v>
      </c>
      <c r="C16" s="35" t="s">
        <v>292</v>
      </c>
      <c r="D16" s="35" t="s">
        <v>293</v>
      </c>
      <c r="E16" s="35" t="n">
        <v>42</v>
      </c>
      <c r="F16" s="35" t="s">
        <v>235</v>
      </c>
      <c r="G16" s="35" t="s">
        <v>216</v>
      </c>
      <c r="H16" s="35" t="s">
        <v>209</v>
      </c>
      <c r="I16" s="35" t="s">
        <v>200</v>
      </c>
      <c r="J16" s="35" t="n">
        <v>8</v>
      </c>
      <c r="K16" s="65" t="n">
        <v>25465.31</v>
      </c>
      <c r="L16" s="65" t="n">
        <v>203722.48</v>
      </c>
      <c r="M16" s="66" t="n">
        <f aca="false">DATE(YEAR(B16),MONTH(B16),1)</f>
        <v>45717</v>
      </c>
      <c r="N16" s="35" t="str">
        <f aca="false">IF(G16="","Unknown",G16)</f>
        <v>Patna</v>
      </c>
      <c r="O16" s="35" t="str">
        <f aca="false">IF(E16="","Unknown",IF(E16&lt;=25,"18-25",IF(E16&lt;=35,"26-35",IF(E16&lt;=45,"36-45",IF(E16&lt;=55,"46-55","56-65")))))</f>
        <v>36-45</v>
      </c>
      <c r="P16" s="35" t="n">
        <f aca="false">COUNTIF($C$2:$C$1001,C16)</f>
        <v>1</v>
      </c>
      <c r="Q16" s="35" t="n">
        <f aca="false">IF(COUNTIF($C$2:C16,C16)=1,1,0)</f>
        <v>1</v>
      </c>
    </row>
    <row r="17" customFormat="false" ht="15" hidden="false" customHeight="false" outlineLevel="0" collapsed="false">
      <c r="A17" s="35" t="s">
        <v>294</v>
      </c>
      <c r="B17" s="64" t="n">
        <v>45899</v>
      </c>
      <c r="C17" s="35" t="s">
        <v>295</v>
      </c>
      <c r="D17" s="35" t="s">
        <v>296</v>
      </c>
      <c r="E17" s="35" t="n">
        <v>36</v>
      </c>
      <c r="F17" s="35" t="s">
        <v>235</v>
      </c>
      <c r="G17" s="35" t="s">
        <v>221</v>
      </c>
      <c r="H17" s="35" t="s">
        <v>213</v>
      </c>
      <c r="I17" s="35" t="s">
        <v>204</v>
      </c>
      <c r="J17" s="35" t="n">
        <v>10</v>
      </c>
      <c r="K17" s="65" t="n">
        <v>20111.09</v>
      </c>
      <c r="L17" s="65" t="n">
        <v>201110.9</v>
      </c>
      <c r="M17" s="66" t="n">
        <f aca="false">DATE(YEAR(B17),MONTH(B17),1)</f>
        <v>45870</v>
      </c>
      <c r="N17" s="35" t="str">
        <f aca="false">IF(G17="","Unknown",G17)</f>
        <v>Delhi</v>
      </c>
      <c r="O17" s="35" t="str">
        <f aca="false">IF(E17="","Unknown",IF(E17&lt;=25,"18-25",IF(E17&lt;=35,"26-35",IF(E17&lt;=45,"36-45",IF(E17&lt;=55,"46-55","56-65")))))</f>
        <v>36-45</v>
      </c>
      <c r="P17" s="35" t="n">
        <f aca="false">COUNTIF($C$2:$C$1001,C17)</f>
        <v>2</v>
      </c>
      <c r="Q17" s="35" t="n">
        <f aca="false">IF(COUNTIF($C$2:C17,C17)=1,1,0)</f>
        <v>1</v>
      </c>
    </row>
    <row r="18" customFormat="false" ht="15" hidden="false" customHeight="false" outlineLevel="0" collapsed="false">
      <c r="A18" s="35" t="s">
        <v>297</v>
      </c>
      <c r="B18" s="64" t="n">
        <v>45991</v>
      </c>
      <c r="C18" s="35" t="s">
        <v>298</v>
      </c>
      <c r="D18" s="35" t="s">
        <v>299</v>
      </c>
      <c r="E18" s="35" t="n">
        <v>30</v>
      </c>
      <c r="F18" s="35" t="s">
        <v>235</v>
      </c>
      <c r="G18" s="35" t="s">
        <v>221</v>
      </c>
      <c r="H18" s="35" t="s">
        <v>210</v>
      </c>
      <c r="I18" s="35" t="s">
        <v>201</v>
      </c>
      <c r="J18" s="35" t="n">
        <v>10</v>
      </c>
      <c r="K18" s="65" t="n">
        <v>40109.12</v>
      </c>
      <c r="L18" s="65" t="n">
        <v>401091.2</v>
      </c>
      <c r="M18" s="66" t="n">
        <f aca="false">DATE(YEAR(B18),MONTH(B18),1)</f>
        <v>45962</v>
      </c>
      <c r="N18" s="35" t="str">
        <f aca="false">IF(G18="","Unknown",G18)</f>
        <v>Delhi</v>
      </c>
      <c r="O18" s="35" t="str">
        <f aca="false">IF(E18="","Unknown",IF(E18&lt;=25,"18-25",IF(E18&lt;=35,"26-35",IF(E18&lt;=45,"36-45",IF(E18&lt;=55,"46-55","56-65")))))</f>
        <v>26-35</v>
      </c>
      <c r="P18" s="35" t="n">
        <f aca="false">COUNTIF($C$2:$C$1001,C18)</f>
        <v>1</v>
      </c>
      <c r="Q18" s="35" t="n">
        <f aca="false">IF(COUNTIF($C$2:C18,C18)=1,1,0)</f>
        <v>1</v>
      </c>
    </row>
    <row r="19" customFormat="false" ht="15" hidden="false" customHeight="false" outlineLevel="0" collapsed="false">
      <c r="A19" s="35" t="s">
        <v>300</v>
      </c>
      <c r="B19" s="64" t="n">
        <v>45949</v>
      </c>
      <c r="C19" s="35" t="s">
        <v>301</v>
      </c>
      <c r="D19" s="35" t="s">
        <v>302</v>
      </c>
      <c r="E19" s="35" t="n">
        <v>31</v>
      </c>
      <c r="F19" s="35" t="s">
        <v>234</v>
      </c>
      <c r="G19" s="35" t="s">
        <v>223</v>
      </c>
      <c r="H19" s="35" t="s">
        <v>213</v>
      </c>
      <c r="I19" s="35" t="s">
        <v>204</v>
      </c>
      <c r="J19" s="35" t="n">
        <v>1</v>
      </c>
      <c r="K19" s="65" t="n">
        <v>7280.64</v>
      </c>
      <c r="L19" s="65" t="n">
        <v>7280.64</v>
      </c>
      <c r="M19" s="66" t="n">
        <f aca="false">DATE(YEAR(B19),MONTH(B19),1)</f>
        <v>45931</v>
      </c>
      <c r="N19" s="35" t="str">
        <f aca="false">IF(G19="","Unknown",G19)</f>
        <v>Gaya</v>
      </c>
      <c r="O19" s="35" t="str">
        <f aca="false">IF(E19="","Unknown",IF(E19&lt;=25,"18-25",IF(E19&lt;=35,"26-35",IF(E19&lt;=45,"36-45",IF(E19&lt;=55,"46-55","56-65")))))</f>
        <v>26-35</v>
      </c>
      <c r="P19" s="35" t="n">
        <f aca="false">COUNTIF($C$2:$C$1001,C19)</f>
        <v>2</v>
      </c>
      <c r="Q19" s="35" t="n">
        <f aca="false">IF(COUNTIF($C$2:C19,C19)=1,1,0)</f>
        <v>1</v>
      </c>
    </row>
    <row r="20" customFormat="false" ht="15" hidden="false" customHeight="false" outlineLevel="0" collapsed="false">
      <c r="A20" s="35" t="s">
        <v>303</v>
      </c>
      <c r="B20" s="64" t="n">
        <v>45862</v>
      </c>
      <c r="C20" s="35" t="s">
        <v>304</v>
      </c>
      <c r="D20" s="35" t="s">
        <v>305</v>
      </c>
      <c r="E20" s="35" t="n">
        <v>57</v>
      </c>
      <c r="F20" s="35" t="s">
        <v>235</v>
      </c>
      <c r="G20" s="35" t="s">
        <v>219</v>
      </c>
      <c r="H20" s="35" t="s">
        <v>212</v>
      </c>
      <c r="I20" s="35" t="s">
        <v>203</v>
      </c>
      <c r="J20" s="35" t="n">
        <v>5</v>
      </c>
      <c r="K20" s="65" t="n">
        <v>6122.59</v>
      </c>
      <c r="L20" s="65" t="n">
        <v>30612.95</v>
      </c>
      <c r="M20" s="66" t="n">
        <f aca="false">DATE(YEAR(B20),MONTH(B20),1)</f>
        <v>45839</v>
      </c>
      <c r="N20" s="35" t="str">
        <f aca="false">IF(G20="","Unknown",G20)</f>
        <v>Mumbai</v>
      </c>
      <c r="O20" s="35" t="str">
        <f aca="false">IF(E20="","Unknown",IF(E20&lt;=25,"18-25",IF(E20&lt;=35,"26-35",IF(E20&lt;=45,"36-45",IF(E20&lt;=55,"46-55","56-65")))))</f>
        <v>56-65</v>
      </c>
      <c r="P20" s="35" t="n">
        <f aca="false">COUNTIF($C$2:$C$1001,C20)</f>
        <v>2</v>
      </c>
      <c r="Q20" s="35" t="n">
        <f aca="false">IF(COUNTIF($C$2:C20,C20)=1,1,0)</f>
        <v>1</v>
      </c>
    </row>
    <row r="21" customFormat="false" ht="15" hidden="false" customHeight="false" outlineLevel="0" collapsed="false">
      <c r="A21" s="35" t="s">
        <v>306</v>
      </c>
      <c r="B21" s="64" t="n">
        <v>45736</v>
      </c>
      <c r="C21" s="35" t="s">
        <v>307</v>
      </c>
      <c r="D21" s="35" t="s">
        <v>308</v>
      </c>
      <c r="E21" s="35" t="n">
        <v>34</v>
      </c>
      <c r="F21" s="35" t="s">
        <v>234</v>
      </c>
      <c r="G21" s="35" t="s">
        <v>217</v>
      </c>
      <c r="H21" s="35" t="s">
        <v>208</v>
      </c>
      <c r="I21" s="35" t="s">
        <v>200</v>
      </c>
      <c r="J21" s="35" t="n">
        <v>8</v>
      </c>
      <c r="K21" s="65" t="n">
        <v>23770.36</v>
      </c>
      <c r="L21" s="65" t="n">
        <v>190162.88</v>
      </c>
      <c r="M21" s="66" t="n">
        <f aca="false">DATE(YEAR(B21),MONTH(B21),1)</f>
        <v>45717</v>
      </c>
      <c r="N21" s="35" t="str">
        <f aca="false">IF(G21="","Unknown",G21)</f>
        <v>Kolkata</v>
      </c>
      <c r="O21" s="35" t="str">
        <f aca="false">IF(E21="","Unknown",IF(E21&lt;=25,"18-25",IF(E21&lt;=35,"26-35",IF(E21&lt;=45,"36-45",IF(E21&lt;=55,"46-55","56-65")))))</f>
        <v>26-35</v>
      </c>
      <c r="P21" s="35" t="n">
        <f aca="false">COUNTIF($C$2:$C$1001,C21)</f>
        <v>1</v>
      </c>
      <c r="Q21" s="35" t="n">
        <f aca="false">IF(COUNTIF($C$2:C21,C21)=1,1,0)</f>
        <v>1</v>
      </c>
    </row>
    <row r="22" customFormat="false" ht="15" hidden="false" customHeight="false" outlineLevel="0" collapsed="false">
      <c r="A22" s="35" t="s">
        <v>309</v>
      </c>
      <c r="B22" s="64" t="n">
        <v>45734</v>
      </c>
      <c r="C22" s="35" t="s">
        <v>310</v>
      </c>
      <c r="D22" s="35" t="s">
        <v>311</v>
      </c>
      <c r="E22" s="35" t="n">
        <v>65</v>
      </c>
      <c r="F22" s="35" t="s">
        <v>234</v>
      </c>
      <c r="G22" s="35" t="s">
        <v>222</v>
      </c>
      <c r="H22" s="35" t="s">
        <v>213</v>
      </c>
      <c r="I22" s="35" t="s">
        <v>204</v>
      </c>
      <c r="J22" s="35" t="n">
        <v>1</v>
      </c>
      <c r="K22" s="65" t="n">
        <v>2344.98</v>
      </c>
      <c r="L22" s="65" t="n">
        <v>2344.98</v>
      </c>
      <c r="M22" s="66" t="n">
        <f aca="false">DATE(YEAR(B22),MONTH(B22),1)</f>
        <v>45717</v>
      </c>
      <c r="N22" s="35" t="str">
        <f aca="false">IF(G22="","Unknown",G22)</f>
        <v>Pune</v>
      </c>
      <c r="O22" s="35" t="str">
        <f aca="false">IF(E22="","Unknown",IF(E22&lt;=25,"18-25",IF(E22&lt;=35,"26-35",IF(E22&lt;=45,"36-45",IF(E22&lt;=55,"46-55","56-65")))))</f>
        <v>56-65</v>
      </c>
      <c r="P22" s="35" t="n">
        <f aca="false">COUNTIF($C$2:$C$1001,C22)</f>
        <v>1</v>
      </c>
      <c r="Q22" s="35" t="n">
        <f aca="false">IF(COUNTIF($C$2:C22,C22)=1,1,0)</f>
        <v>1</v>
      </c>
    </row>
    <row r="23" customFormat="false" ht="15" hidden="false" customHeight="false" outlineLevel="0" collapsed="false">
      <c r="A23" s="35" t="s">
        <v>312</v>
      </c>
      <c r="B23" s="64" t="n">
        <v>45934</v>
      </c>
      <c r="C23" s="35" t="s">
        <v>313</v>
      </c>
      <c r="D23" s="35" t="s">
        <v>314</v>
      </c>
      <c r="E23" s="35" t="n">
        <v>31</v>
      </c>
      <c r="F23" s="35" t="s">
        <v>235</v>
      </c>
      <c r="G23" s="35" t="s">
        <v>219</v>
      </c>
      <c r="H23" s="35" t="s">
        <v>210</v>
      </c>
      <c r="I23" s="35" t="s">
        <v>201</v>
      </c>
      <c r="J23" s="35" t="n">
        <v>7</v>
      </c>
      <c r="K23" s="65" t="n">
        <v>15396.37</v>
      </c>
      <c r="L23" s="65" t="n">
        <v>107774.59</v>
      </c>
      <c r="M23" s="66" t="n">
        <f aca="false">DATE(YEAR(B23),MONTH(B23),1)</f>
        <v>45931</v>
      </c>
      <c r="N23" s="35" t="str">
        <f aca="false">IF(G23="","Unknown",G23)</f>
        <v>Mumbai</v>
      </c>
      <c r="O23" s="35" t="str">
        <f aca="false">IF(E23="","Unknown",IF(E23&lt;=25,"18-25",IF(E23&lt;=35,"26-35",IF(E23&lt;=45,"36-45",IF(E23&lt;=55,"46-55","56-65")))))</f>
        <v>26-35</v>
      </c>
      <c r="P23" s="35" t="n">
        <f aca="false">COUNTIF($C$2:$C$1001,C23)</f>
        <v>1</v>
      </c>
      <c r="Q23" s="35" t="n">
        <f aca="false">IF(COUNTIF($C$2:C23,C23)=1,1,0)</f>
        <v>1</v>
      </c>
    </row>
    <row r="24" customFormat="false" ht="15" hidden="false" customHeight="false" outlineLevel="0" collapsed="false">
      <c r="A24" s="35" t="s">
        <v>315</v>
      </c>
      <c r="B24" s="64" t="n">
        <v>45984</v>
      </c>
      <c r="C24" s="35" t="s">
        <v>316</v>
      </c>
      <c r="D24" s="35" t="s">
        <v>317</v>
      </c>
      <c r="E24" s="35" t="n">
        <v>52</v>
      </c>
      <c r="F24" s="35" t="s">
        <v>234</v>
      </c>
      <c r="G24" s="35" t="s">
        <v>223</v>
      </c>
      <c r="H24" s="35" t="s">
        <v>213</v>
      </c>
      <c r="I24" s="35" t="s">
        <v>204</v>
      </c>
      <c r="J24" s="35" t="n">
        <v>10</v>
      </c>
      <c r="K24" s="65" t="n">
        <v>31576.5</v>
      </c>
      <c r="L24" s="65" t="n">
        <v>315765</v>
      </c>
      <c r="M24" s="66" t="n">
        <f aca="false">DATE(YEAR(B24),MONTH(B24),1)</f>
        <v>45962</v>
      </c>
      <c r="N24" s="35" t="str">
        <f aca="false">IF(G24="","Unknown",G24)</f>
        <v>Gaya</v>
      </c>
      <c r="O24" s="35" t="str">
        <f aca="false">IF(E24="","Unknown",IF(E24&lt;=25,"18-25",IF(E24&lt;=35,"26-35",IF(E24&lt;=45,"36-45",IF(E24&lt;=55,"46-55","56-65")))))</f>
        <v>46-55</v>
      </c>
      <c r="P24" s="35" t="n">
        <f aca="false">COUNTIF($C$2:$C$1001,C24)</f>
        <v>1</v>
      </c>
      <c r="Q24" s="35" t="n">
        <f aca="false">IF(COUNTIF($C$2:C24,C24)=1,1,0)</f>
        <v>1</v>
      </c>
    </row>
    <row r="25" customFormat="false" ht="15" hidden="false" customHeight="false" outlineLevel="0" collapsed="false">
      <c r="A25" s="35" t="s">
        <v>318</v>
      </c>
      <c r="B25" s="64" t="n">
        <v>45914</v>
      </c>
      <c r="C25" s="35" t="s">
        <v>319</v>
      </c>
      <c r="D25" s="35" t="s">
        <v>320</v>
      </c>
      <c r="E25" s="35" t="n">
        <v>44</v>
      </c>
      <c r="F25" s="35" t="s">
        <v>234</v>
      </c>
      <c r="G25" s="35" t="s">
        <v>216</v>
      </c>
      <c r="H25" s="35" t="s">
        <v>208</v>
      </c>
      <c r="I25" s="35" t="s">
        <v>200</v>
      </c>
      <c r="J25" s="35" t="n">
        <v>2</v>
      </c>
      <c r="K25" s="65" t="n">
        <v>11127.06</v>
      </c>
      <c r="L25" s="65" t="n">
        <v>22254.12</v>
      </c>
      <c r="M25" s="66" t="n">
        <f aca="false">DATE(YEAR(B25),MONTH(B25),1)</f>
        <v>45901</v>
      </c>
      <c r="N25" s="35" t="str">
        <f aca="false">IF(G25="","Unknown",G25)</f>
        <v>Patna</v>
      </c>
      <c r="O25" s="35" t="str">
        <f aca="false">IF(E25="","Unknown",IF(E25&lt;=25,"18-25",IF(E25&lt;=35,"26-35",IF(E25&lt;=45,"36-45",IF(E25&lt;=55,"46-55","56-65")))))</f>
        <v>36-45</v>
      </c>
      <c r="P25" s="35" t="n">
        <f aca="false">COUNTIF($C$2:$C$1001,C25)</f>
        <v>1</v>
      </c>
      <c r="Q25" s="35" t="n">
        <f aca="false">IF(COUNTIF($C$2:C25,C25)=1,1,0)</f>
        <v>1</v>
      </c>
    </row>
    <row r="26" customFormat="false" ht="15" hidden="false" customHeight="false" outlineLevel="0" collapsed="false">
      <c r="A26" s="35" t="s">
        <v>321</v>
      </c>
      <c r="B26" s="64" t="n">
        <v>45732</v>
      </c>
      <c r="C26" s="35" t="s">
        <v>322</v>
      </c>
      <c r="D26" s="35" t="s">
        <v>323</v>
      </c>
      <c r="E26" s="35" t="n">
        <v>30</v>
      </c>
      <c r="F26" s="35" t="s">
        <v>234</v>
      </c>
      <c r="G26" s="35" t="s">
        <v>222</v>
      </c>
      <c r="H26" s="35" t="s">
        <v>211</v>
      </c>
      <c r="I26" s="35" t="s">
        <v>202</v>
      </c>
      <c r="J26" s="35" t="n">
        <v>7</v>
      </c>
      <c r="K26" s="65" t="n">
        <v>36069.86</v>
      </c>
      <c r="L26" s="65" t="n">
        <v>252489.02</v>
      </c>
      <c r="M26" s="66" t="n">
        <f aca="false">DATE(YEAR(B26),MONTH(B26),1)</f>
        <v>45717</v>
      </c>
      <c r="N26" s="35" t="str">
        <f aca="false">IF(G26="","Unknown",G26)</f>
        <v>Pune</v>
      </c>
      <c r="O26" s="35" t="str">
        <f aca="false">IF(E26="","Unknown",IF(E26&lt;=25,"18-25",IF(E26&lt;=35,"26-35",IF(E26&lt;=45,"36-45",IF(E26&lt;=55,"46-55","56-65")))))</f>
        <v>26-35</v>
      </c>
      <c r="P26" s="35" t="n">
        <f aca="false">COUNTIF($C$2:$C$1001,C26)</f>
        <v>2</v>
      </c>
      <c r="Q26" s="35" t="n">
        <f aca="false">IF(COUNTIF($C$2:C26,C26)=1,1,0)</f>
        <v>1</v>
      </c>
    </row>
    <row r="27" customFormat="false" ht="15" hidden="false" customHeight="false" outlineLevel="0" collapsed="false">
      <c r="A27" s="35" t="s">
        <v>324</v>
      </c>
      <c r="B27" s="64" t="n">
        <v>45757</v>
      </c>
      <c r="C27" s="35" t="s">
        <v>325</v>
      </c>
      <c r="D27" s="35" t="s">
        <v>326</v>
      </c>
      <c r="E27" s="35" t="n">
        <v>65</v>
      </c>
      <c r="F27" s="35" t="s">
        <v>234</v>
      </c>
      <c r="G27" s="35" t="s">
        <v>219</v>
      </c>
      <c r="H27" s="35" t="s">
        <v>210</v>
      </c>
      <c r="I27" s="35" t="s">
        <v>201</v>
      </c>
      <c r="J27" s="35" t="n">
        <v>9</v>
      </c>
      <c r="K27" s="65" t="n">
        <v>39414.46</v>
      </c>
      <c r="L27" s="65" t="n">
        <v>354730.14</v>
      </c>
      <c r="M27" s="66" t="n">
        <f aca="false">DATE(YEAR(B27),MONTH(B27),1)</f>
        <v>45748</v>
      </c>
      <c r="N27" s="35" t="str">
        <f aca="false">IF(G27="","Unknown",G27)</f>
        <v>Mumbai</v>
      </c>
      <c r="O27" s="35" t="str">
        <f aca="false">IF(E27="","Unknown",IF(E27&lt;=25,"18-25",IF(E27&lt;=35,"26-35",IF(E27&lt;=45,"36-45",IF(E27&lt;=55,"46-55","56-65")))))</f>
        <v>56-65</v>
      </c>
      <c r="P27" s="35" t="n">
        <f aca="false">COUNTIF($C$2:$C$1001,C27)</f>
        <v>1</v>
      </c>
      <c r="Q27" s="35" t="n">
        <f aca="false">IF(COUNTIF($C$2:C27,C27)=1,1,0)</f>
        <v>1</v>
      </c>
    </row>
    <row r="28" customFormat="false" ht="15" hidden="false" customHeight="false" outlineLevel="0" collapsed="false">
      <c r="A28" s="35" t="s">
        <v>327</v>
      </c>
      <c r="B28" s="64" t="n">
        <v>45870</v>
      </c>
      <c r="C28" s="35" t="s">
        <v>328</v>
      </c>
      <c r="D28" s="35" t="s">
        <v>329</v>
      </c>
      <c r="E28" s="35" t="n">
        <v>35</v>
      </c>
      <c r="F28" s="35" t="s">
        <v>235</v>
      </c>
      <c r="G28" s="35" t="s">
        <v>219</v>
      </c>
      <c r="H28" s="35" t="s">
        <v>211</v>
      </c>
      <c r="I28" s="35" t="s">
        <v>202</v>
      </c>
      <c r="J28" s="35" t="n">
        <v>2</v>
      </c>
      <c r="K28" s="65" t="n">
        <v>23837.41</v>
      </c>
      <c r="L28" s="65" t="n">
        <v>47674.82</v>
      </c>
      <c r="M28" s="66" t="n">
        <f aca="false">DATE(YEAR(B28),MONTH(B28),1)</f>
        <v>45870</v>
      </c>
      <c r="N28" s="35" t="str">
        <f aca="false">IF(G28="","Unknown",G28)</f>
        <v>Mumbai</v>
      </c>
      <c r="O28" s="35" t="str">
        <f aca="false">IF(E28="","Unknown",IF(E28&lt;=25,"18-25",IF(E28&lt;=35,"26-35",IF(E28&lt;=45,"36-45",IF(E28&lt;=55,"46-55","56-65")))))</f>
        <v>26-35</v>
      </c>
      <c r="P28" s="35" t="n">
        <f aca="false">COUNTIF($C$2:$C$1001,C28)</f>
        <v>1</v>
      </c>
      <c r="Q28" s="35" t="n">
        <f aca="false">IF(COUNTIF($C$2:C28,C28)=1,1,0)</f>
        <v>1</v>
      </c>
    </row>
    <row r="29" customFormat="false" ht="15" hidden="false" customHeight="false" outlineLevel="0" collapsed="false">
      <c r="A29" s="35" t="s">
        <v>330</v>
      </c>
      <c r="B29" s="64" t="n">
        <v>45879</v>
      </c>
      <c r="C29" s="35" t="s">
        <v>331</v>
      </c>
      <c r="D29" s="35" t="s">
        <v>332</v>
      </c>
      <c r="E29" s="35" t="n">
        <v>32</v>
      </c>
      <c r="F29" s="35" t="s">
        <v>235</v>
      </c>
      <c r="G29" s="35" t="s">
        <v>216</v>
      </c>
      <c r="H29" s="35" t="s">
        <v>208</v>
      </c>
      <c r="I29" s="35" t="s">
        <v>200</v>
      </c>
      <c r="J29" s="35" t="n">
        <v>5</v>
      </c>
      <c r="K29" s="65" t="n">
        <v>14534.79</v>
      </c>
      <c r="L29" s="65" t="n">
        <v>72673.95</v>
      </c>
      <c r="M29" s="66" t="n">
        <f aca="false">DATE(YEAR(B29),MONTH(B29),1)</f>
        <v>45870</v>
      </c>
      <c r="N29" s="35" t="str">
        <f aca="false">IF(G29="","Unknown",G29)</f>
        <v>Patna</v>
      </c>
      <c r="O29" s="35" t="str">
        <f aca="false">IF(E29="","Unknown",IF(E29&lt;=25,"18-25",IF(E29&lt;=35,"26-35",IF(E29&lt;=45,"36-45",IF(E29&lt;=55,"46-55","56-65")))))</f>
        <v>26-35</v>
      </c>
      <c r="P29" s="35" t="n">
        <f aca="false">COUNTIF($C$2:$C$1001,C29)</f>
        <v>1</v>
      </c>
      <c r="Q29" s="35" t="n">
        <f aca="false">IF(COUNTIF($C$2:C29,C29)=1,1,0)</f>
        <v>1</v>
      </c>
    </row>
    <row r="30" customFormat="false" ht="15" hidden="false" customHeight="false" outlineLevel="0" collapsed="false">
      <c r="A30" s="35" t="s">
        <v>333</v>
      </c>
      <c r="B30" s="64" t="n">
        <v>45693</v>
      </c>
      <c r="C30" s="35" t="s">
        <v>334</v>
      </c>
      <c r="D30" s="35" t="s">
        <v>335</v>
      </c>
      <c r="E30" s="35" t="n">
        <v>38</v>
      </c>
      <c r="F30" s="35" t="s">
        <v>235</v>
      </c>
      <c r="G30" s="35" t="s">
        <v>218</v>
      </c>
      <c r="H30" s="35" t="s">
        <v>209</v>
      </c>
      <c r="I30" s="35" t="s">
        <v>200</v>
      </c>
      <c r="J30" s="35" t="n">
        <v>10</v>
      </c>
      <c r="K30" s="65" t="n">
        <v>21393.69</v>
      </c>
      <c r="L30" s="65" t="n">
        <v>213936.9</v>
      </c>
      <c r="M30" s="66" t="n">
        <f aca="false">DATE(YEAR(B30),MONTH(B30),1)</f>
        <v>45689</v>
      </c>
      <c r="N30" s="35" t="str">
        <f aca="false">IF(G30="","Unknown",G30)</f>
        <v>Bengaluru</v>
      </c>
      <c r="O30" s="35" t="str">
        <f aca="false">IF(E30="","Unknown",IF(E30&lt;=25,"18-25",IF(E30&lt;=35,"26-35",IF(E30&lt;=45,"36-45",IF(E30&lt;=55,"46-55","56-65")))))</f>
        <v>36-45</v>
      </c>
      <c r="P30" s="35" t="n">
        <f aca="false">COUNTIF($C$2:$C$1001,C30)</f>
        <v>1</v>
      </c>
      <c r="Q30" s="35" t="n">
        <f aca="false">IF(COUNTIF($C$2:C30,C30)=1,1,0)</f>
        <v>1</v>
      </c>
    </row>
    <row r="31" customFormat="false" ht="15" hidden="false" customHeight="false" outlineLevel="0" collapsed="false">
      <c r="A31" s="35" t="s">
        <v>336</v>
      </c>
      <c r="B31" s="64" t="n">
        <v>45878</v>
      </c>
      <c r="C31" s="35" t="s">
        <v>337</v>
      </c>
      <c r="D31" s="35" t="s">
        <v>338</v>
      </c>
      <c r="E31" s="35" t="n">
        <v>33</v>
      </c>
      <c r="F31" s="35" t="s">
        <v>234</v>
      </c>
      <c r="G31" s="35" t="s">
        <v>223</v>
      </c>
      <c r="H31" s="35" t="s">
        <v>211</v>
      </c>
      <c r="I31" s="35" t="s">
        <v>202</v>
      </c>
      <c r="J31" s="35" t="n">
        <v>2</v>
      </c>
      <c r="K31" s="65" t="n">
        <v>21382.16</v>
      </c>
      <c r="L31" s="65" t="n">
        <v>42764.32</v>
      </c>
      <c r="M31" s="66" t="n">
        <f aca="false">DATE(YEAR(B31),MONTH(B31),1)</f>
        <v>45870</v>
      </c>
      <c r="N31" s="35" t="str">
        <f aca="false">IF(G31="","Unknown",G31)</f>
        <v>Gaya</v>
      </c>
      <c r="O31" s="35" t="str">
        <f aca="false">IF(E31="","Unknown",IF(E31&lt;=25,"18-25",IF(E31&lt;=35,"26-35",IF(E31&lt;=45,"36-45",IF(E31&lt;=55,"46-55","56-65")))))</f>
        <v>26-35</v>
      </c>
      <c r="P31" s="35" t="n">
        <f aca="false">COUNTIF($C$2:$C$1001,C31)</f>
        <v>1</v>
      </c>
      <c r="Q31" s="35" t="n">
        <f aca="false">IF(COUNTIF($C$2:C31,C31)=1,1,0)</f>
        <v>1</v>
      </c>
    </row>
    <row r="32" customFormat="false" ht="15" hidden="false" customHeight="false" outlineLevel="0" collapsed="false">
      <c r="A32" s="35" t="s">
        <v>339</v>
      </c>
      <c r="B32" s="64" t="n">
        <v>45790</v>
      </c>
      <c r="C32" s="35" t="s">
        <v>340</v>
      </c>
      <c r="D32" s="35" t="s">
        <v>341</v>
      </c>
      <c r="E32" s="35" t="n">
        <v>33</v>
      </c>
      <c r="F32" s="35" t="s">
        <v>235</v>
      </c>
      <c r="G32" s="35" t="s">
        <v>219</v>
      </c>
      <c r="H32" s="35" t="s">
        <v>209</v>
      </c>
      <c r="I32" s="35" t="s">
        <v>200</v>
      </c>
      <c r="J32" s="35" t="n">
        <v>1</v>
      </c>
      <c r="K32" s="65" t="n">
        <v>15831.03</v>
      </c>
      <c r="L32" s="65" t="n">
        <v>15831.03</v>
      </c>
      <c r="M32" s="66" t="n">
        <f aca="false">DATE(YEAR(B32),MONTH(B32),1)</f>
        <v>45778</v>
      </c>
      <c r="N32" s="35" t="str">
        <f aca="false">IF(G32="","Unknown",G32)</f>
        <v>Mumbai</v>
      </c>
      <c r="O32" s="35" t="str">
        <f aca="false">IF(E32="","Unknown",IF(E32&lt;=25,"18-25",IF(E32&lt;=35,"26-35",IF(E32&lt;=45,"36-45",IF(E32&lt;=55,"46-55","56-65")))))</f>
        <v>26-35</v>
      </c>
      <c r="P32" s="35" t="n">
        <f aca="false">COUNTIF($C$2:$C$1001,C32)</f>
        <v>1</v>
      </c>
      <c r="Q32" s="35" t="n">
        <f aca="false">IF(COUNTIF($C$2:C32,C32)=1,1,0)</f>
        <v>1</v>
      </c>
    </row>
    <row r="33" customFormat="false" ht="15" hidden="false" customHeight="false" outlineLevel="0" collapsed="false">
      <c r="A33" s="35" t="s">
        <v>342</v>
      </c>
      <c r="B33" s="64" t="n">
        <v>45952</v>
      </c>
      <c r="C33" s="35" t="s">
        <v>343</v>
      </c>
      <c r="D33" s="35" t="s">
        <v>344</v>
      </c>
      <c r="E33" s="35" t="n">
        <v>21</v>
      </c>
      <c r="F33" s="35" t="s">
        <v>235</v>
      </c>
      <c r="G33" s="35" t="s">
        <v>219</v>
      </c>
      <c r="H33" s="35" t="s">
        <v>210</v>
      </c>
      <c r="I33" s="35" t="s">
        <v>201</v>
      </c>
      <c r="J33" s="35" t="n">
        <v>8</v>
      </c>
      <c r="K33" s="65" t="n">
        <v>21791.66</v>
      </c>
      <c r="L33" s="65" t="n">
        <v>174333.28</v>
      </c>
      <c r="M33" s="66" t="n">
        <f aca="false">DATE(YEAR(B33),MONTH(B33),1)</f>
        <v>45931</v>
      </c>
      <c r="N33" s="35" t="str">
        <f aca="false">IF(G33="","Unknown",G33)</f>
        <v>Mumbai</v>
      </c>
      <c r="O33" s="35" t="str">
        <f aca="false">IF(E33="","Unknown",IF(E33&lt;=25,"18-25",IF(E33&lt;=35,"26-35",IF(E33&lt;=45,"36-45",IF(E33&lt;=55,"46-55","56-65")))))</f>
        <v>18-25</v>
      </c>
      <c r="P33" s="35" t="n">
        <f aca="false">COUNTIF($C$2:$C$1001,C33)</f>
        <v>1</v>
      </c>
      <c r="Q33" s="35" t="n">
        <f aca="false">IF(COUNTIF($C$2:C33,C33)=1,1,0)</f>
        <v>1</v>
      </c>
    </row>
    <row r="34" customFormat="false" ht="15" hidden="false" customHeight="false" outlineLevel="0" collapsed="false">
      <c r="A34" s="35" t="s">
        <v>345</v>
      </c>
      <c r="B34" s="64" t="n">
        <v>45995</v>
      </c>
      <c r="C34" s="35" t="s">
        <v>346</v>
      </c>
      <c r="D34" s="35" t="s">
        <v>347</v>
      </c>
      <c r="E34" s="35" t="n">
        <v>44</v>
      </c>
      <c r="F34" s="35" t="s">
        <v>235</v>
      </c>
      <c r="G34" s="35" t="s">
        <v>219</v>
      </c>
      <c r="H34" s="35" t="s">
        <v>208</v>
      </c>
      <c r="I34" s="35" t="s">
        <v>200</v>
      </c>
      <c r="J34" s="35" t="n">
        <v>5</v>
      </c>
      <c r="K34" s="65" t="n">
        <v>17556.08</v>
      </c>
      <c r="L34" s="65" t="n">
        <v>87780.4</v>
      </c>
      <c r="M34" s="66" t="n">
        <f aca="false">DATE(YEAR(B34),MONTH(B34),1)</f>
        <v>45992</v>
      </c>
      <c r="N34" s="35" t="str">
        <f aca="false">IF(G34="","Unknown",G34)</f>
        <v>Mumbai</v>
      </c>
      <c r="O34" s="35" t="str">
        <f aca="false">IF(E34="","Unknown",IF(E34&lt;=25,"18-25",IF(E34&lt;=35,"26-35",IF(E34&lt;=45,"36-45",IF(E34&lt;=55,"46-55","56-65")))))</f>
        <v>36-45</v>
      </c>
      <c r="P34" s="35" t="n">
        <f aca="false">COUNTIF($C$2:$C$1001,C34)</f>
        <v>1</v>
      </c>
      <c r="Q34" s="35" t="n">
        <f aca="false">IF(COUNTIF($C$2:C34,C34)=1,1,0)</f>
        <v>1</v>
      </c>
    </row>
    <row r="35" customFormat="false" ht="15" hidden="false" customHeight="false" outlineLevel="0" collapsed="false">
      <c r="A35" s="35" t="s">
        <v>348</v>
      </c>
      <c r="B35" s="64" t="n">
        <v>45780</v>
      </c>
      <c r="C35" s="35" t="s">
        <v>349</v>
      </c>
      <c r="D35" s="35" t="s">
        <v>350</v>
      </c>
      <c r="E35" s="35" t="n">
        <v>18</v>
      </c>
      <c r="F35" s="35" t="s">
        <v>235</v>
      </c>
      <c r="G35" s="35" t="s">
        <v>223</v>
      </c>
      <c r="H35" s="35" t="s">
        <v>208</v>
      </c>
      <c r="I35" s="35" t="s">
        <v>200</v>
      </c>
      <c r="J35" s="35" t="n">
        <v>5</v>
      </c>
      <c r="K35" s="65" t="n">
        <v>46822.84</v>
      </c>
      <c r="L35" s="65" t="n">
        <v>234114.2</v>
      </c>
      <c r="M35" s="66" t="n">
        <f aca="false">DATE(YEAR(B35),MONTH(B35),1)</f>
        <v>45778</v>
      </c>
      <c r="N35" s="35" t="str">
        <f aca="false">IF(G35="","Unknown",G35)</f>
        <v>Gaya</v>
      </c>
      <c r="O35" s="35" t="str">
        <f aca="false">IF(E35="","Unknown",IF(E35&lt;=25,"18-25",IF(E35&lt;=35,"26-35",IF(E35&lt;=45,"36-45",IF(E35&lt;=55,"46-55","56-65")))))</f>
        <v>18-25</v>
      </c>
      <c r="P35" s="35" t="n">
        <f aca="false">COUNTIF($C$2:$C$1001,C35)</f>
        <v>1</v>
      </c>
      <c r="Q35" s="35" t="n">
        <f aca="false">IF(COUNTIF($C$2:C35,C35)=1,1,0)</f>
        <v>1</v>
      </c>
    </row>
    <row r="36" customFormat="false" ht="15" hidden="false" customHeight="false" outlineLevel="0" collapsed="false">
      <c r="A36" s="35" t="s">
        <v>351</v>
      </c>
      <c r="B36" s="64" t="n">
        <v>45724</v>
      </c>
      <c r="C36" s="35" t="s">
        <v>352</v>
      </c>
      <c r="D36" s="35" t="s">
        <v>353</v>
      </c>
      <c r="E36" s="35" t="n">
        <v>36</v>
      </c>
      <c r="F36" s="35" t="s">
        <v>235</v>
      </c>
      <c r="G36" s="35" t="s">
        <v>223</v>
      </c>
      <c r="H36" s="35" t="s">
        <v>209</v>
      </c>
      <c r="I36" s="35" t="s">
        <v>200</v>
      </c>
      <c r="J36" s="35" t="n">
        <v>4</v>
      </c>
      <c r="K36" s="65" t="n">
        <v>47896.7</v>
      </c>
      <c r="L36" s="65" t="n">
        <v>191586.8</v>
      </c>
      <c r="M36" s="66" t="n">
        <f aca="false">DATE(YEAR(B36),MONTH(B36),1)</f>
        <v>45717</v>
      </c>
      <c r="N36" s="35" t="str">
        <f aca="false">IF(G36="","Unknown",G36)</f>
        <v>Gaya</v>
      </c>
      <c r="O36" s="35" t="str">
        <f aca="false">IF(E36="","Unknown",IF(E36&lt;=25,"18-25",IF(E36&lt;=35,"26-35",IF(E36&lt;=45,"36-45",IF(E36&lt;=55,"46-55","56-65")))))</f>
        <v>36-45</v>
      </c>
      <c r="P36" s="35" t="n">
        <f aca="false">COUNTIF($C$2:$C$1001,C36)</f>
        <v>1</v>
      </c>
      <c r="Q36" s="35" t="n">
        <f aca="false">IF(COUNTIF($C$2:C36,C36)=1,1,0)</f>
        <v>1</v>
      </c>
    </row>
    <row r="37" customFormat="false" ht="15" hidden="false" customHeight="false" outlineLevel="0" collapsed="false">
      <c r="A37" s="35" t="s">
        <v>354</v>
      </c>
      <c r="B37" s="64" t="n">
        <v>45695</v>
      </c>
      <c r="C37" s="35" t="s">
        <v>355</v>
      </c>
      <c r="D37" s="35" t="s">
        <v>356</v>
      </c>
      <c r="E37" s="35" t="n">
        <v>46</v>
      </c>
      <c r="F37" s="35" t="s">
        <v>234</v>
      </c>
      <c r="G37" s="35" t="s">
        <v>218</v>
      </c>
      <c r="H37" s="35" t="s">
        <v>208</v>
      </c>
      <c r="I37" s="35" t="s">
        <v>200</v>
      </c>
      <c r="J37" s="35" t="n">
        <v>8</v>
      </c>
      <c r="K37" s="65" t="n">
        <v>44911.49</v>
      </c>
      <c r="L37" s="65" t="n">
        <v>359291.92</v>
      </c>
      <c r="M37" s="66" t="n">
        <f aca="false">DATE(YEAR(B37),MONTH(B37),1)</f>
        <v>45689</v>
      </c>
      <c r="N37" s="35" t="str">
        <f aca="false">IF(G37="","Unknown",G37)</f>
        <v>Bengaluru</v>
      </c>
      <c r="O37" s="35" t="str">
        <f aca="false">IF(E37="","Unknown",IF(E37&lt;=25,"18-25",IF(E37&lt;=35,"26-35",IF(E37&lt;=45,"36-45",IF(E37&lt;=55,"46-55","56-65")))))</f>
        <v>46-55</v>
      </c>
      <c r="P37" s="35" t="n">
        <f aca="false">COUNTIF($C$2:$C$1001,C37)</f>
        <v>1</v>
      </c>
      <c r="Q37" s="35" t="n">
        <f aca="false">IF(COUNTIF($C$2:C37,C37)=1,1,0)</f>
        <v>1</v>
      </c>
    </row>
    <row r="38" customFormat="false" ht="15" hidden="false" customHeight="false" outlineLevel="0" collapsed="false">
      <c r="A38" s="35" t="s">
        <v>357</v>
      </c>
      <c r="B38" s="64" t="n">
        <v>45708</v>
      </c>
      <c r="C38" s="35" t="s">
        <v>358</v>
      </c>
      <c r="D38" s="35" t="s">
        <v>338</v>
      </c>
      <c r="E38" s="35" t="n">
        <v>23</v>
      </c>
      <c r="F38" s="35" t="s">
        <v>234</v>
      </c>
      <c r="G38" s="35" t="s">
        <v>221</v>
      </c>
      <c r="H38" s="35" t="s">
        <v>212</v>
      </c>
      <c r="I38" s="35" t="s">
        <v>203</v>
      </c>
      <c r="J38" s="35" t="n">
        <v>7</v>
      </c>
      <c r="K38" s="65" t="n">
        <v>40746.79</v>
      </c>
      <c r="L38" s="65" t="n">
        <v>285227.53</v>
      </c>
      <c r="M38" s="66" t="n">
        <f aca="false">DATE(YEAR(B38),MONTH(B38),1)</f>
        <v>45689</v>
      </c>
      <c r="N38" s="35" t="str">
        <f aca="false">IF(G38="","Unknown",G38)</f>
        <v>Delhi</v>
      </c>
      <c r="O38" s="35" t="str">
        <f aca="false">IF(E38="","Unknown",IF(E38&lt;=25,"18-25",IF(E38&lt;=35,"26-35",IF(E38&lt;=45,"36-45",IF(E38&lt;=55,"46-55","56-65")))))</f>
        <v>18-25</v>
      </c>
      <c r="P38" s="35" t="n">
        <f aca="false">COUNTIF($C$2:$C$1001,C38)</f>
        <v>1</v>
      </c>
      <c r="Q38" s="35" t="n">
        <f aca="false">IF(COUNTIF($C$2:C38,C38)=1,1,0)</f>
        <v>1</v>
      </c>
    </row>
    <row r="39" customFormat="false" ht="15" hidden="false" customHeight="false" outlineLevel="0" collapsed="false">
      <c r="A39" s="35" t="s">
        <v>359</v>
      </c>
      <c r="B39" s="64" t="n">
        <v>45950</v>
      </c>
      <c r="C39" s="35" t="s">
        <v>360</v>
      </c>
      <c r="D39" s="35" t="s">
        <v>361</v>
      </c>
      <c r="E39" s="35" t="n">
        <v>29</v>
      </c>
      <c r="F39" s="35" t="s">
        <v>234</v>
      </c>
      <c r="G39" s="35" t="s">
        <v>217</v>
      </c>
      <c r="H39" s="35" t="s">
        <v>211</v>
      </c>
      <c r="I39" s="35" t="s">
        <v>202</v>
      </c>
      <c r="J39" s="35" t="n">
        <v>4</v>
      </c>
      <c r="K39" s="65" t="n">
        <v>4794.08</v>
      </c>
      <c r="L39" s="65" t="n">
        <v>19176.32</v>
      </c>
      <c r="M39" s="66" t="n">
        <f aca="false">DATE(YEAR(B39),MONTH(B39),1)</f>
        <v>45931</v>
      </c>
      <c r="N39" s="35" t="str">
        <f aca="false">IF(G39="","Unknown",G39)</f>
        <v>Kolkata</v>
      </c>
      <c r="O39" s="35" t="str">
        <f aca="false">IF(E39="","Unknown",IF(E39&lt;=25,"18-25",IF(E39&lt;=35,"26-35",IF(E39&lt;=45,"36-45",IF(E39&lt;=55,"46-55","56-65")))))</f>
        <v>26-35</v>
      </c>
      <c r="P39" s="35" t="n">
        <f aca="false">COUNTIF($C$2:$C$1001,C39)</f>
        <v>1</v>
      </c>
      <c r="Q39" s="35" t="n">
        <f aca="false">IF(COUNTIF($C$2:C39,C39)=1,1,0)</f>
        <v>1</v>
      </c>
    </row>
    <row r="40" customFormat="false" ht="15" hidden="false" customHeight="false" outlineLevel="0" collapsed="false">
      <c r="A40" s="35" t="s">
        <v>362</v>
      </c>
      <c r="B40" s="64" t="n">
        <v>45723</v>
      </c>
      <c r="C40" s="35" t="s">
        <v>363</v>
      </c>
      <c r="D40" s="35" t="s">
        <v>364</v>
      </c>
      <c r="E40" s="35" t="n">
        <v>58</v>
      </c>
      <c r="F40" s="35" t="s">
        <v>235</v>
      </c>
      <c r="G40" s="35" t="s">
        <v>218</v>
      </c>
      <c r="H40" s="35" t="s">
        <v>213</v>
      </c>
      <c r="I40" s="35" t="s">
        <v>204</v>
      </c>
      <c r="J40" s="35" t="n">
        <v>8</v>
      </c>
      <c r="K40" s="65" t="n">
        <v>29270.98</v>
      </c>
      <c r="L40" s="65" t="n">
        <v>234167.84</v>
      </c>
      <c r="M40" s="66" t="n">
        <f aca="false">DATE(YEAR(B40),MONTH(B40),1)</f>
        <v>45717</v>
      </c>
      <c r="N40" s="35" t="str">
        <f aca="false">IF(G40="","Unknown",G40)</f>
        <v>Bengaluru</v>
      </c>
      <c r="O40" s="35" t="str">
        <f aca="false">IF(E40="","Unknown",IF(E40&lt;=25,"18-25",IF(E40&lt;=35,"26-35",IF(E40&lt;=45,"36-45",IF(E40&lt;=55,"46-55","56-65")))))</f>
        <v>56-65</v>
      </c>
      <c r="P40" s="35" t="n">
        <f aca="false">COUNTIF($C$2:$C$1001,C40)</f>
        <v>1</v>
      </c>
      <c r="Q40" s="35" t="n">
        <f aca="false">IF(COUNTIF($C$2:C40,C40)=1,1,0)</f>
        <v>1</v>
      </c>
    </row>
    <row r="41" customFormat="false" ht="15" hidden="false" customHeight="false" outlineLevel="0" collapsed="false">
      <c r="A41" s="35" t="s">
        <v>365</v>
      </c>
      <c r="B41" s="64" t="n">
        <v>45768</v>
      </c>
      <c r="C41" s="35" t="s">
        <v>366</v>
      </c>
      <c r="D41" s="35" t="s">
        <v>367</v>
      </c>
      <c r="E41" s="35" t="n">
        <v>39</v>
      </c>
      <c r="F41" s="35" t="s">
        <v>235</v>
      </c>
      <c r="G41" s="35" t="s">
        <v>219</v>
      </c>
      <c r="H41" s="35" t="s">
        <v>213</v>
      </c>
      <c r="I41" s="35" t="s">
        <v>204</v>
      </c>
      <c r="J41" s="35" t="n">
        <v>1</v>
      </c>
      <c r="K41" s="65" t="n">
        <v>3992.85</v>
      </c>
      <c r="L41" s="65" t="n">
        <v>3992.85</v>
      </c>
      <c r="M41" s="66" t="n">
        <f aca="false">DATE(YEAR(B41),MONTH(B41),1)</f>
        <v>45748</v>
      </c>
      <c r="N41" s="35" t="str">
        <f aca="false">IF(G41="","Unknown",G41)</f>
        <v>Mumbai</v>
      </c>
      <c r="O41" s="35" t="str">
        <f aca="false">IF(E41="","Unknown",IF(E41&lt;=25,"18-25",IF(E41&lt;=35,"26-35",IF(E41&lt;=45,"36-45",IF(E41&lt;=55,"46-55","56-65")))))</f>
        <v>36-45</v>
      </c>
      <c r="P41" s="35" t="n">
        <f aca="false">COUNTIF($C$2:$C$1001,C41)</f>
        <v>1</v>
      </c>
      <c r="Q41" s="35" t="n">
        <f aca="false">IF(COUNTIF($C$2:C41,C41)=1,1,0)</f>
        <v>1</v>
      </c>
    </row>
    <row r="42" customFormat="false" ht="15" hidden="false" customHeight="false" outlineLevel="0" collapsed="false">
      <c r="A42" s="35" t="s">
        <v>368</v>
      </c>
      <c r="B42" s="64" t="n">
        <v>45808</v>
      </c>
      <c r="C42" s="35" t="s">
        <v>369</v>
      </c>
      <c r="D42" s="35" t="s">
        <v>370</v>
      </c>
      <c r="E42" s="35" t="n">
        <v>50</v>
      </c>
      <c r="F42" s="35" t="s">
        <v>235</v>
      </c>
      <c r="G42" s="35" t="s">
        <v>220</v>
      </c>
      <c r="H42" s="35" t="s">
        <v>209</v>
      </c>
      <c r="I42" s="35" t="s">
        <v>200</v>
      </c>
      <c r="J42" s="35" t="n">
        <v>5</v>
      </c>
      <c r="K42" s="65" t="n">
        <v>44365.94</v>
      </c>
      <c r="L42" s="65" t="n">
        <v>221829.7</v>
      </c>
      <c r="M42" s="66" t="n">
        <f aca="false">DATE(YEAR(B42),MONTH(B42),1)</f>
        <v>45778</v>
      </c>
      <c r="N42" s="35" t="str">
        <f aca="false">IF(G42="","Unknown",G42)</f>
        <v>Hyderabad</v>
      </c>
      <c r="O42" s="35" t="str">
        <f aca="false">IF(E42="","Unknown",IF(E42&lt;=25,"18-25",IF(E42&lt;=35,"26-35",IF(E42&lt;=45,"36-45",IF(E42&lt;=55,"46-55","56-65")))))</f>
        <v>46-55</v>
      </c>
      <c r="P42" s="35" t="n">
        <f aca="false">COUNTIF($C$2:$C$1001,C42)</f>
        <v>1</v>
      </c>
      <c r="Q42" s="35" t="n">
        <f aca="false">IF(COUNTIF($C$2:C42,C42)=1,1,0)</f>
        <v>1</v>
      </c>
    </row>
    <row r="43" customFormat="false" ht="15" hidden="false" customHeight="false" outlineLevel="0" collapsed="false">
      <c r="A43" s="35" t="s">
        <v>371</v>
      </c>
      <c r="B43" s="64" t="n">
        <v>45767</v>
      </c>
      <c r="C43" s="35" t="s">
        <v>372</v>
      </c>
      <c r="D43" s="35" t="s">
        <v>373</v>
      </c>
      <c r="E43" s="35" t="n">
        <v>43</v>
      </c>
      <c r="F43" s="35" t="s">
        <v>235</v>
      </c>
      <c r="G43" s="35" t="s">
        <v>217</v>
      </c>
      <c r="H43" s="35" t="s">
        <v>209</v>
      </c>
      <c r="I43" s="35" t="s">
        <v>200</v>
      </c>
      <c r="J43" s="35" t="n">
        <v>4</v>
      </c>
      <c r="K43" s="65" t="n">
        <v>29915.72</v>
      </c>
      <c r="L43" s="65" t="n">
        <v>119662.88</v>
      </c>
      <c r="M43" s="66" t="n">
        <f aca="false">DATE(YEAR(B43),MONTH(B43),1)</f>
        <v>45748</v>
      </c>
      <c r="N43" s="35" t="str">
        <f aca="false">IF(G43="","Unknown",G43)</f>
        <v>Kolkata</v>
      </c>
      <c r="O43" s="35" t="str">
        <f aca="false">IF(E43="","Unknown",IF(E43&lt;=25,"18-25",IF(E43&lt;=35,"26-35",IF(E43&lt;=45,"36-45",IF(E43&lt;=55,"46-55","56-65")))))</f>
        <v>36-45</v>
      </c>
      <c r="P43" s="35" t="n">
        <f aca="false">COUNTIF($C$2:$C$1001,C43)</f>
        <v>1</v>
      </c>
      <c r="Q43" s="35" t="n">
        <f aca="false">IF(COUNTIF($C$2:C43,C43)=1,1,0)</f>
        <v>1</v>
      </c>
    </row>
    <row r="44" customFormat="false" ht="15" hidden="false" customHeight="false" outlineLevel="0" collapsed="false">
      <c r="A44" s="35" t="s">
        <v>374</v>
      </c>
      <c r="B44" s="64" t="n">
        <v>45922</v>
      </c>
      <c r="C44" s="35" t="s">
        <v>375</v>
      </c>
      <c r="D44" s="35" t="s">
        <v>376</v>
      </c>
      <c r="E44" s="35" t="n">
        <v>58</v>
      </c>
      <c r="F44" s="35" t="s">
        <v>234</v>
      </c>
      <c r="G44" s="35" t="s">
        <v>216</v>
      </c>
      <c r="H44" s="35" t="s">
        <v>212</v>
      </c>
      <c r="I44" s="35" t="s">
        <v>203</v>
      </c>
      <c r="J44" s="35" t="n">
        <v>6</v>
      </c>
      <c r="K44" s="65" t="n">
        <v>16521.44</v>
      </c>
      <c r="L44" s="65" t="n">
        <v>99128.64</v>
      </c>
      <c r="M44" s="66" t="n">
        <f aca="false">DATE(YEAR(B44),MONTH(B44),1)</f>
        <v>45901</v>
      </c>
      <c r="N44" s="35" t="str">
        <f aca="false">IF(G44="","Unknown",G44)</f>
        <v>Patna</v>
      </c>
      <c r="O44" s="35" t="str">
        <f aca="false">IF(E44="","Unknown",IF(E44&lt;=25,"18-25",IF(E44&lt;=35,"26-35",IF(E44&lt;=45,"36-45",IF(E44&lt;=55,"46-55","56-65")))))</f>
        <v>56-65</v>
      </c>
      <c r="P44" s="35" t="n">
        <f aca="false">COUNTIF($C$2:$C$1001,C44)</f>
        <v>2</v>
      </c>
      <c r="Q44" s="35" t="n">
        <f aca="false">IF(COUNTIF($C$2:C44,C44)=1,1,0)</f>
        <v>1</v>
      </c>
    </row>
    <row r="45" customFormat="false" ht="15" hidden="false" customHeight="false" outlineLevel="0" collapsed="false">
      <c r="A45" s="35" t="s">
        <v>377</v>
      </c>
      <c r="B45" s="64" t="n">
        <v>45842</v>
      </c>
      <c r="C45" s="35" t="s">
        <v>378</v>
      </c>
      <c r="D45" s="35" t="s">
        <v>379</v>
      </c>
      <c r="E45" s="35" t="n">
        <v>55</v>
      </c>
      <c r="F45" s="35" t="s">
        <v>235</v>
      </c>
      <c r="G45" s="35" t="s">
        <v>218</v>
      </c>
      <c r="H45" s="35" t="s">
        <v>211</v>
      </c>
      <c r="I45" s="35" t="s">
        <v>202</v>
      </c>
      <c r="J45" s="35" t="n">
        <v>6</v>
      </c>
      <c r="K45" s="65" t="n">
        <v>14399.11</v>
      </c>
      <c r="L45" s="65" t="n">
        <v>86394.66</v>
      </c>
      <c r="M45" s="66" t="n">
        <f aca="false">DATE(YEAR(B45),MONTH(B45),1)</f>
        <v>45839</v>
      </c>
      <c r="N45" s="35" t="str">
        <f aca="false">IF(G45="","Unknown",G45)</f>
        <v>Bengaluru</v>
      </c>
      <c r="O45" s="35" t="str">
        <f aca="false">IF(E45="","Unknown",IF(E45&lt;=25,"18-25",IF(E45&lt;=35,"26-35",IF(E45&lt;=45,"36-45",IF(E45&lt;=55,"46-55","56-65")))))</f>
        <v>46-55</v>
      </c>
      <c r="P45" s="35" t="n">
        <f aca="false">COUNTIF($C$2:$C$1001,C45)</f>
        <v>1</v>
      </c>
      <c r="Q45" s="35" t="n">
        <f aca="false">IF(COUNTIF($C$2:C45,C45)=1,1,0)</f>
        <v>1</v>
      </c>
    </row>
    <row r="46" customFormat="false" ht="15" hidden="false" customHeight="false" outlineLevel="0" collapsed="false">
      <c r="A46" s="35" t="s">
        <v>380</v>
      </c>
      <c r="B46" s="64" t="n">
        <v>45773</v>
      </c>
      <c r="C46" s="35" t="s">
        <v>381</v>
      </c>
      <c r="D46" s="35" t="s">
        <v>382</v>
      </c>
      <c r="E46" s="35" t="n">
        <v>27</v>
      </c>
      <c r="F46" s="35" t="s">
        <v>235</v>
      </c>
      <c r="G46" s="35" t="s">
        <v>220</v>
      </c>
      <c r="H46" s="35" t="s">
        <v>213</v>
      </c>
      <c r="I46" s="35" t="s">
        <v>204</v>
      </c>
      <c r="J46" s="35" t="n">
        <v>9</v>
      </c>
      <c r="K46" s="65" t="n">
        <v>1491.63</v>
      </c>
      <c r="L46" s="65" t="n">
        <v>13424.67</v>
      </c>
      <c r="M46" s="66" t="n">
        <f aca="false">DATE(YEAR(B46),MONTH(B46),1)</f>
        <v>45748</v>
      </c>
      <c r="N46" s="35" t="str">
        <f aca="false">IF(G46="","Unknown",G46)</f>
        <v>Hyderabad</v>
      </c>
      <c r="O46" s="35" t="str">
        <f aca="false">IF(E46="","Unknown",IF(E46&lt;=25,"18-25",IF(E46&lt;=35,"26-35",IF(E46&lt;=45,"36-45",IF(E46&lt;=55,"46-55","56-65")))))</f>
        <v>26-35</v>
      </c>
      <c r="P46" s="35" t="n">
        <f aca="false">COUNTIF($C$2:$C$1001,C46)</f>
        <v>1</v>
      </c>
      <c r="Q46" s="35" t="n">
        <f aca="false">IF(COUNTIF($C$2:C46,C46)=1,1,0)</f>
        <v>1</v>
      </c>
    </row>
    <row r="47" customFormat="false" ht="15" hidden="false" customHeight="false" outlineLevel="0" collapsed="false">
      <c r="A47" s="35" t="s">
        <v>383</v>
      </c>
      <c r="B47" s="64" t="n">
        <v>45788</v>
      </c>
      <c r="C47" s="35" t="s">
        <v>384</v>
      </c>
      <c r="D47" s="35" t="s">
        <v>385</v>
      </c>
      <c r="E47" s="35" t="n">
        <v>34</v>
      </c>
      <c r="F47" s="35" t="s">
        <v>234</v>
      </c>
      <c r="G47" s="35" t="s">
        <v>219</v>
      </c>
      <c r="H47" s="35" t="s">
        <v>211</v>
      </c>
      <c r="I47" s="35" t="s">
        <v>202</v>
      </c>
      <c r="J47" s="35" t="n">
        <v>2</v>
      </c>
      <c r="K47" s="65" t="n">
        <v>6210.24</v>
      </c>
      <c r="L47" s="65" t="n">
        <v>12420.48</v>
      </c>
      <c r="M47" s="66" t="n">
        <f aca="false">DATE(YEAR(B47),MONTH(B47),1)</f>
        <v>45778</v>
      </c>
      <c r="N47" s="35" t="str">
        <f aca="false">IF(G47="","Unknown",G47)</f>
        <v>Mumbai</v>
      </c>
      <c r="O47" s="35" t="str">
        <f aca="false">IF(E47="","Unknown",IF(E47&lt;=25,"18-25",IF(E47&lt;=35,"26-35",IF(E47&lt;=45,"36-45",IF(E47&lt;=55,"46-55","56-65")))))</f>
        <v>26-35</v>
      </c>
      <c r="P47" s="35" t="n">
        <f aca="false">COUNTIF($C$2:$C$1001,C47)</f>
        <v>1</v>
      </c>
      <c r="Q47" s="35" t="n">
        <f aca="false">IF(COUNTIF($C$2:C47,C47)=1,1,0)</f>
        <v>1</v>
      </c>
    </row>
    <row r="48" customFormat="false" ht="15" hidden="false" customHeight="false" outlineLevel="0" collapsed="false">
      <c r="A48" s="35" t="s">
        <v>386</v>
      </c>
      <c r="B48" s="64" t="n">
        <v>45902</v>
      </c>
      <c r="C48" s="35" t="s">
        <v>387</v>
      </c>
      <c r="D48" s="35" t="s">
        <v>388</v>
      </c>
      <c r="E48" s="35" t="n">
        <v>42</v>
      </c>
      <c r="F48" s="35" t="s">
        <v>235</v>
      </c>
      <c r="G48" s="35" t="s">
        <v>221</v>
      </c>
      <c r="H48" s="35" t="s">
        <v>209</v>
      </c>
      <c r="I48" s="35" t="s">
        <v>200</v>
      </c>
      <c r="J48" s="35" t="n">
        <v>2</v>
      </c>
      <c r="K48" s="65" t="n">
        <v>47649.61</v>
      </c>
      <c r="L48" s="65" t="n">
        <v>95299.22</v>
      </c>
      <c r="M48" s="66" t="n">
        <f aca="false">DATE(YEAR(B48),MONTH(B48),1)</f>
        <v>45901</v>
      </c>
      <c r="N48" s="35" t="str">
        <f aca="false">IF(G48="","Unknown",G48)</f>
        <v>Delhi</v>
      </c>
      <c r="O48" s="35" t="str">
        <f aca="false">IF(E48="","Unknown",IF(E48&lt;=25,"18-25",IF(E48&lt;=35,"26-35",IF(E48&lt;=45,"36-45",IF(E48&lt;=55,"46-55","56-65")))))</f>
        <v>36-45</v>
      </c>
      <c r="P48" s="35" t="n">
        <f aca="false">COUNTIF($C$2:$C$1001,C48)</f>
        <v>1</v>
      </c>
      <c r="Q48" s="35" t="n">
        <f aca="false">IF(COUNTIF($C$2:C48,C48)=1,1,0)</f>
        <v>1</v>
      </c>
    </row>
    <row r="49" customFormat="false" ht="15" hidden="false" customHeight="false" outlineLevel="0" collapsed="false">
      <c r="A49" s="35" t="s">
        <v>389</v>
      </c>
      <c r="B49" s="64" t="n">
        <v>45955</v>
      </c>
      <c r="C49" s="35" t="s">
        <v>390</v>
      </c>
      <c r="D49" s="35" t="s">
        <v>391</v>
      </c>
      <c r="E49" s="35" t="n">
        <v>55</v>
      </c>
      <c r="F49" s="35" t="s">
        <v>234</v>
      </c>
      <c r="G49" s="35" t="s">
        <v>217</v>
      </c>
      <c r="H49" s="35" t="s">
        <v>209</v>
      </c>
      <c r="I49" s="35" t="s">
        <v>200</v>
      </c>
      <c r="J49" s="35" t="n">
        <v>5</v>
      </c>
      <c r="K49" s="65" t="n">
        <v>24854.05</v>
      </c>
      <c r="L49" s="65" t="n">
        <v>124270.25</v>
      </c>
      <c r="M49" s="66" t="n">
        <f aca="false">DATE(YEAR(B49),MONTH(B49),1)</f>
        <v>45931</v>
      </c>
      <c r="N49" s="35" t="str">
        <f aca="false">IF(G49="","Unknown",G49)</f>
        <v>Kolkata</v>
      </c>
      <c r="O49" s="35" t="str">
        <f aca="false">IF(E49="","Unknown",IF(E49&lt;=25,"18-25",IF(E49&lt;=35,"26-35",IF(E49&lt;=45,"36-45",IF(E49&lt;=55,"46-55","56-65")))))</f>
        <v>46-55</v>
      </c>
      <c r="P49" s="35" t="n">
        <f aca="false">COUNTIF($C$2:$C$1001,C49)</f>
        <v>1</v>
      </c>
      <c r="Q49" s="35" t="n">
        <f aca="false">IF(COUNTIF($C$2:C49,C49)=1,1,0)</f>
        <v>1</v>
      </c>
    </row>
    <row r="50" customFormat="false" ht="15" hidden="false" customHeight="false" outlineLevel="0" collapsed="false">
      <c r="A50" s="35" t="s">
        <v>392</v>
      </c>
      <c r="B50" s="64" t="n">
        <v>45933</v>
      </c>
      <c r="C50" s="35" t="s">
        <v>393</v>
      </c>
      <c r="D50" s="35" t="s">
        <v>394</v>
      </c>
      <c r="E50" s="35"/>
      <c r="F50" s="35" t="s">
        <v>234</v>
      </c>
      <c r="G50" s="35" t="s">
        <v>222</v>
      </c>
      <c r="H50" s="35" t="s">
        <v>212</v>
      </c>
      <c r="I50" s="35" t="s">
        <v>203</v>
      </c>
      <c r="J50" s="35" t="n">
        <v>9</v>
      </c>
      <c r="K50" s="65" t="n">
        <v>30834.87</v>
      </c>
      <c r="L50" s="65" t="n">
        <v>277513.83</v>
      </c>
      <c r="M50" s="66" t="n">
        <f aca="false">DATE(YEAR(B50),MONTH(B50),1)</f>
        <v>45931</v>
      </c>
      <c r="N50" s="35" t="str">
        <f aca="false">IF(G50="","Unknown",G50)</f>
        <v>Pune</v>
      </c>
      <c r="O50" s="35" t="str">
        <f aca="false">IF(E50="","Unknown",IF(E50&lt;=25,"18-25",IF(E50&lt;=35,"26-35",IF(E50&lt;=45,"36-45",IF(E50&lt;=55,"46-55","56-65")))))</f>
        <v>Unknown</v>
      </c>
      <c r="P50" s="35" t="n">
        <f aca="false">COUNTIF($C$2:$C$1001,C50)</f>
        <v>1</v>
      </c>
      <c r="Q50" s="35" t="n">
        <f aca="false">IF(COUNTIF($C$2:C50,C50)=1,1,0)</f>
        <v>1</v>
      </c>
    </row>
    <row r="51" customFormat="false" ht="15" hidden="false" customHeight="false" outlineLevel="0" collapsed="false">
      <c r="A51" s="35" t="s">
        <v>395</v>
      </c>
      <c r="B51" s="64" t="n">
        <v>45715</v>
      </c>
      <c r="C51" s="35" t="s">
        <v>396</v>
      </c>
      <c r="D51" s="35" t="s">
        <v>397</v>
      </c>
      <c r="E51" s="35" t="n">
        <v>39</v>
      </c>
      <c r="F51" s="35" t="s">
        <v>235</v>
      </c>
      <c r="G51" s="35" t="s">
        <v>219</v>
      </c>
      <c r="H51" s="35" t="s">
        <v>212</v>
      </c>
      <c r="I51" s="35" t="s">
        <v>203</v>
      </c>
      <c r="J51" s="35" t="n">
        <v>6</v>
      </c>
      <c r="K51" s="65" t="n">
        <v>20561.97</v>
      </c>
      <c r="L51" s="65" t="n">
        <v>123371.82</v>
      </c>
      <c r="M51" s="66" t="n">
        <f aca="false">DATE(YEAR(B51),MONTH(B51),1)</f>
        <v>45689</v>
      </c>
      <c r="N51" s="35" t="str">
        <f aca="false">IF(G51="","Unknown",G51)</f>
        <v>Mumbai</v>
      </c>
      <c r="O51" s="35" t="str">
        <f aca="false">IF(E51="","Unknown",IF(E51&lt;=25,"18-25",IF(E51&lt;=35,"26-35",IF(E51&lt;=45,"36-45",IF(E51&lt;=55,"46-55","56-65")))))</f>
        <v>36-45</v>
      </c>
      <c r="P51" s="35" t="n">
        <f aca="false">COUNTIF($C$2:$C$1001,C51)</f>
        <v>1</v>
      </c>
      <c r="Q51" s="35" t="n">
        <f aca="false">IF(COUNTIF($C$2:C51,C51)=1,1,0)</f>
        <v>1</v>
      </c>
    </row>
    <row r="52" customFormat="false" ht="15" hidden="false" customHeight="false" outlineLevel="0" collapsed="false">
      <c r="A52" s="35" t="s">
        <v>398</v>
      </c>
      <c r="B52" s="64" t="n">
        <v>45909</v>
      </c>
      <c r="C52" s="35" t="s">
        <v>399</v>
      </c>
      <c r="D52" s="35" t="s">
        <v>400</v>
      </c>
      <c r="E52" s="35" t="n">
        <v>58</v>
      </c>
      <c r="F52" s="35" t="s">
        <v>234</v>
      </c>
      <c r="G52" s="35" t="s">
        <v>216</v>
      </c>
      <c r="H52" s="35" t="s">
        <v>210</v>
      </c>
      <c r="I52" s="35" t="s">
        <v>201</v>
      </c>
      <c r="J52" s="35" t="n">
        <v>10</v>
      </c>
      <c r="K52" s="65" t="n">
        <v>49367.75</v>
      </c>
      <c r="L52" s="65" t="n">
        <v>493677.5</v>
      </c>
      <c r="M52" s="66" t="n">
        <f aca="false">DATE(YEAR(B52),MONTH(B52),1)</f>
        <v>45901</v>
      </c>
      <c r="N52" s="35" t="str">
        <f aca="false">IF(G52="","Unknown",G52)</f>
        <v>Patna</v>
      </c>
      <c r="O52" s="35" t="str">
        <f aca="false">IF(E52="","Unknown",IF(E52&lt;=25,"18-25",IF(E52&lt;=35,"26-35",IF(E52&lt;=45,"36-45",IF(E52&lt;=55,"46-55","56-65")))))</f>
        <v>56-65</v>
      </c>
      <c r="P52" s="35" t="n">
        <f aca="false">COUNTIF($C$2:$C$1001,C52)</f>
        <v>1</v>
      </c>
      <c r="Q52" s="35" t="n">
        <f aca="false">IF(COUNTIF($C$2:C52,C52)=1,1,0)</f>
        <v>1</v>
      </c>
    </row>
    <row r="53" customFormat="false" ht="15" hidden="false" customHeight="false" outlineLevel="0" collapsed="false">
      <c r="A53" s="35" t="s">
        <v>401</v>
      </c>
      <c r="B53" s="64" t="n">
        <v>45816</v>
      </c>
      <c r="C53" s="35" t="s">
        <v>402</v>
      </c>
      <c r="D53" s="35" t="s">
        <v>403</v>
      </c>
      <c r="E53" s="35" t="n">
        <v>33</v>
      </c>
      <c r="F53" s="35" t="s">
        <v>234</v>
      </c>
      <c r="G53" s="35" t="s">
        <v>221</v>
      </c>
      <c r="H53" s="35" t="s">
        <v>208</v>
      </c>
      <c r="I53" s="35" t="s">
        <v>200</v>
      </c>
      <c r="J53" s="35" t="n">
        <v>6</v>
      </c>
      <c r="K53" s="65" t="n">
        <v>4656.1</v>
      </c>
      <c r="L53" s="65" t="n">
        <v>27936.6</v>
      </c>
      <c r="M53" s="66" t="n">
        <f aca="false">DATE(YEAR(B53),MONTH(B53),1)</f>
        <v>45809</v>
      </c>
      <c r="N53" s="35" t="str">
        <f aca="false">IF(G53="","Unknown",G53)</f>
        <v>Delhi</v>
      </c>
      <c r="O53" s="35" t="str">
        <f aca="false">IF(E53="","Unknown",IF(E53&lt;=25,"18-25",IF(E53&lt;=35,"26-35",IF(E53&lt;=45,"36-45",IF(E53&lt;=55,"46-55","56-65")))))</f>
        <v>26-35</v>
      </c>
      <c r="P53" s="35" t="n">
        <f aca="false">COUNTIF($C$2:$C$1001,C53)</f>
        <v>1</v>
      </c>
      <c r="Q53" s="35" t="n">
        <f aca="false">IF(COUNTIF($C$2:C53,C53)=1,1,0)</f>
        <v>1</v>
      </c>
    </row>
    <row r="54" customFormat="false" ht="15" hidden="false" customHeight="false" outlineLevel="0" collapsed="false">
      <c r="A54" s="35" t="s">
        <v>404</v>
      </c>
      <c r="B54" s="64" t="n">
        <v>45845</v>
      </c>
      <c r="C54" s="35" t="s">
        <v>405</v>
      </c>
      <c r="D54" s="35" t="s">
        <v>406</v>
      </c>
      <c r="E54" s="35" t="n">
        <v>58</v>
      </c>
      <c r="F54" s="35" t="s">
        <v>234</v>
      </c>
      <c r="G54" s="35" t="s">
        <v>221</v>
      </c>
      <c r="H54" s="35" t="s">
        <v>211</v>
      </c>
      <c r="I54" s="35" t="s">
        <v>202</v>
      </c>
      <c r="J54" s="35" t="n">
        <v>7</v>
      </c>
      <c r="K54" s="65" t="n">
        <v>42345.82</v>
      </c>
      <c r="L54" s="65" t="n">
        <v>296420.74</v>
      </c>
      <c r="M54" s="66" t="n">
        <f aca="false">DATE(YEAR(B54),MONTH(B54),1)</f>
        <v>45839</v>
      </c>
      <c r="N54" s="35" t="str">
        <f aca="false">IF(G54="","Unknown",G54)</f>
        <v>Delhi</v>
      </c>
      <c r="O54" s="35" t="str">
        <f aca="false">IF(E54="","Unknown",IF(E54&lt;=25,"18-25",IF(E54&lt;=35,"26-35",IF(E54&lt;=45,"36-45",IF(E54&lt;=55,"46-55","56-65")))))</f>
        <v>56-65</v>
      </c>
      <c r="P54" s="35" t="n">
        <f aca="false">COUNTIF($C$2:$C$1001,C54)</f>
        <v>2</v>
      </c>
      <c r="Q54" s="35" t="n">
        <f aca="false">IF(COUNTIF($C$2:C54,C54)=1,1,0)</f>
        <v>1</v>
      </c>
    </row>
    <row r="55" customFormat="false" ht="15" hidden="false" customHeight="false" outlineLevel="0" collapsed="false">
      <c r="A55" s="35" t="s">
        <v>407</v>
      </c>
      <c r="B55" s="64" t="n">
        <v>45763</v>
      </c>
      <c r="C55" s="35" t="s">
        <v>408</v>
      </c>
      <c r="D55" s="35" t="s">
        <v>409</v>
      </c>
      <c r="E55" s="35" t="n">
        <v>42</v>
      </c>
      <c r="F55" s="35" t="s">
        <v>235</v>
      </c>
      <c r="G55" s="35" t="s">
        <v>222</v>
      </c>
      <c r="H55" s="35" t="s">
        <v>213</v>
      </c>
      <c r="I55" s="35" t="s">
        <v>204</v>
      </c>
      <c r="J55" s="35" t="n">
        <v>7</v>
      </c>
      <c r="K55" s="65" t="n">
        <v>37747.24</v>
      </c>
      <c r="L55" s="65" t="n">
        <v>264230.68</v>
      </c>
      <c r="M55" s="66" t="n">
        <f aca="false">DATE(YEAR(B55),MONTH(B55),1)</f>
        <v>45748</v>
      </c>
      <c r="N55" s="35" t="str">
        <f aca="false">IF(G55="","Unknown",G55)</f>
        <v>Pune</v>
      </c>
      <c r="O55" s="35" t="str">
        <f aca="false">IF(E55="","Unknown",IF(E55&lt;=25,"18-25",IF(E55&lt;=35,"26-35",IF(E55&lt;=45,"36-45",IF(E55&lt;=55,"46-55","56-65")))))</f>
        <v>36-45</v>
      </c>
      <c r="P55" s="35" t="n">
        <f aca="false">COUNTIF($C$2:$C$1001,C55)</f>
        <v>1</v>
      </c>
      <c r="Q55" s="35" t="n">
        <f aca="false">IF(COUNTIF($C$2:C55,C55)=1,1,0)</f>
        <v>1</v>
      </c>
    </row>
    <row r="56" customFormat="false" ht="15" hidden="false" customHeight="false" outlineLevel="0" collapsed="false">
      <c r="A56" s="35" t="s">
        <v>410</v>
      </c>
      <c r="B56" s="64" t="n">
        <v>45977</v>
      </c>
      <c r="C56" s="35" t="s">
        <v>411</v>
      </c>
      <c r="D56" s="35" t="s">
        <v>412</v>
      </c>
      <c r="E56" s="35" t="n">
        <v>26</v>
      </c>
      <c r="F56" s="35" t="s">
        <v>234</v>
      </c>
      <c r="G56" s="35" t="s">
        <v>221</v>
      </c>
      <c r="H56" s="35" t="s">
        <v>210</v>
      </c>
      <c r="I56" s="35" t="s">
        <v>201</v>
      </c>
      <c r="J56" s="35" t="n">
        <v>2</v>
      </c>
      <c r="K56" s="65" t="n">
        <v>33304.17</v>
      </c>
      <c r="L56" s="65" t="n">
        <v>66608.34</v>
      </c>
      <c r="M56" s="66" t="n">
        <f aca="false">DATE(YEAR(B56),MONTH(B56),1)</f>
        <v>45962</v>
      </c>
      <c r="N56" s="35" t="str">
        <f aca="false">IF(G56="","Unknown",G56)</f>
        <v>Delhi</v>
      </c>
      <c r="O56" s="35" t="str">
        <f aca="false">IF(E56="","Unknown",IF(E56&lt;=25,"18-25",IF(E56&lt;=35,"26-35",IF(E56&lt;=45,"36-45",IF(E56&lt;=55,"46-55","56-65")))))</f>
        <v>26-35</v>
      </c>
      <c r="P56" s="35" t="n">
        <f aca="false">COUNTIF($C$2:$C$1001,C56)</f>
        <v>1</v>
      </c>
      <c r="Q56" s="35" t="n">
        <f aca="false">IF(COUNTIF($C$2:C56,C56)=1,1,0)</f>
        <v>1</v>
      </c>
    </row>
    <row r="57" customFormat="false" ht="15" hidden="false" customHeight="false" outlineLevel="0" collapsed="false">
      <c r="A57" s="35" t="s">
        <v>413</v>
      </c>
      <c r="B57" s="64" t="n">
        <v>45998</v>
      </c>
      <c r="C57" s="35" t="s">
        <v>414</v>
      </c>
      <c r="D57" s="35" t="s">
        <v>415</v>
      </c>
      <c r="E57" s="35" t="n">
        <v>58</v>
      </c>
      <c r="F57" s="35" t="s">
        <v>235</v>
      </c>
      <c r="G57" s="35" t="s">
        <v>218</v>
      </c>
      <c r="H57" s="35" t="s">
        <v>208</v>
      </c>
      <c r="I57" s="35" t="s">
        <v>200</v>
      </c>
      <c r="J57" s="35" t="n">
        <v>6</v>
      </c>
      <c r="K57" s="65" t="n">
        <v>41157.44</v>
      </c>
      <c r="L57" s="65" t="n">
        <v>246944.64</v>
      </c>
      <c r="M57" s="66" t="n">
        <f aca="false">DATE(YEAR(B57),MONTH(B57),1)</f>
        <v>45992</v>
      </c>
      <c r="N57" s="35" t="str">
        <f aca="false">IF(G57="","Unknown",G57)</f>
        <v>Bengaluru</v>
      </c>
      <c r="O57" s="35" t="str">
        <f aca="false">IF(E57="","Unknown",IF(E57&lt;=25,"18-25",IF(E57&lt;=35,"26-35",IF(E57&lt;=45,"36-45",IF(E57&lt;=55,"46-55","56-65")))))</f>
        <v>56-65</v>
      </c>
      <c r="P57" s="35" t="n">
        <f aca="false">COUNTIF($C$2:$C$1001,C57)</f>
        <v>1</v>
      </c>
      <c r="Q57" s="35" t="n">
        <f aca="false">IF(COUNTIF($C$2:C57,C57)=1,1,0)</f>
        <v>1</v>
      </c>
    </row>
    <row r="58" customFormat="false" ht="15" hidden="false" customHeight="false" outlineLevel="0" collapsed="false">
      <c r="A58" s="35" t="s">
        <v>416</v>
      </c>
      <c r="B58" s="64" t="n">
        <v>45728</v>
      </c>
      <c r="C58" s="35" t="s">
        <v>417</v>
      </c>
      <c r="D58" s="35" t="s">
        <v>418</v>
      </c>
      <c r="E58" s="35" t="n">
        <v>18</v>
      </c>
      <c r="F58" s="35" t="s">
        <v>235</v>
      </c>
      <c r="G58" s="35" t="s">
        <v>218</v>
      </c>
      <c r="H58" s="35" t="s">
        <v>212</v>
      </c>
      <c r="I58" s="35" t="s">
        <v>203</v>
      </c>
      <c r="J58" s="35" t="n">
        <v>7</v>
      </c>
      <c r="K58" s="65" t="n">
        <v>47669.63</v>
      </c>
      <c r="L58" s="65" t="n">
        <v>333687.41</v>
      </c>
      <c r="M58" s="66" t="n">
        <f aca="false">DATE(YEAR(B58),MONTH(B58),1)</f>
        <v>45717</v>
      </c>
      <c r="N58" s="35" t="str">
        <f aca="false">IF(G58="","Unknown",G58)</f>
        <v>Bengaluru</v>
      </c>
      <c r="O58" s="35" t="str">
        <f aca="false">IF(E58="","Unknown",IF(E58&lt;=25,"18-25",IF(E58&lt;=35,"26-35",IF(E58&lt;=45,"36-45",IF(E58&lt;=55,"46-55","56-65")))))</f>
        <v>18-25</v>
      </c>
      <c r="P58" s="35" t="n">
        <f aca="false">COUNTIF($C$2:$C$1001,C58)</f>
        <v>1</v>
      </c>
      <c r="Q58" s="35" t="n">
        <f aca="false">IF(COUNTIF($C$2:C58,C58)=1,1,0)</f>
        <v>1</v>
      </c>
    </row>
    <row r="59" customFormat="false" ht="15" hidden="false" customHeight="false" outlineLevel="0" collapsed="false">
      <c r="A59" s="35" t="s">
        <v>419</v>
      </c>
      <c r="B59" s="64" t="n">
        <v>46003</v>
      </c>
      <c r="C59" s="35" t="s">
        <v>420</v>
      </c>
      <c r="D59" s="35" t="s">
        <v>421</v>
      </c>
      <c r="E59" s="35" t="n">
        <v>50</v>
      </c>
      <c r="F59" s="35" t="s">
        <v>235</v>
      </c>
      <c r="G59" s="35" t="s">
        <v>218</v>
      </c>
      <c r="H59" s="35" t="s">
        <v>212</v>
      </c>
      <c r="I59" s="35" t="s">
        <v>203</v>
      </c>
      <c r="J59" s="35" t="n">
        <v>1</v>
      </c>
      <c r="K59" s="65" t="n">
        <v>44708.5</v>
      </c>
      <c r="L59" s="65" t="n">
        <v>44708.5</v>
      </c>
      <c r="M59" s="66" t="n">
        <f aca="false">DATE(YEAR(B59),MONTH(B59),1)</f>
        <v>45992</v>
      </c>
      <c r="N59" s="35" t="str">
        <f aca="false">IF(G59="","Unknown",G59)</f>
        <v>Bengaluru</v>
      </c>
      <c r="O59" s="35" t="str">
        <f aca="false">IF(E59="","Unknown",IF(E59&lt;=25,"18-25",IF(E59&lt;=35,"26-35",IF(E59&lt;=45,"36-45",IF(E59&lt;=55,"46-55","56-65")))))</f>
        <v>46-55</v>
      </c>
      <c r="P59" s="35" t="n">
        <f aca="false">COUNTIF($C$2:$C$1001,C59)</f>
        <v>1</v>
      </c>
      <c r="Q59" s="35" t="n">
        <f aca="false">IF(COUNTIF($C$2:C59,C59)=1,1,0)</f>
        <v>1</v>
      </c>
    </row>
    <row r="60" customFormat="false" ht="15" hidden="false" customHeight="false" outlineLevel="0" collapsed="false">
      <c r="A60" s="35" t="s">
        <v>422</v>
      </c>
      <c r="B60" s="64" t="n">
        <v>45672</v>
      </c>
      <c r="C60" s="35" t="s">
        <v>423</v>
      </c>
      <c r="D60" s="35" t="s">
        <v>424</v>
      </c>
      <c r="E60" s="35" t="n">
        <v>47</v>
      </c>
      <c r="F60" s="35" t="s">
        <v>235</v>
      </c>
      <c r="G60" s="35" t="s">
        <v>219</v>
      </c>
      <c r="H60" s="35" t="s">
        <v>209</v>
      </c>
      <c r="I60" s="35" t="s">
        <v>200</v>
      </c>
      <c r="J60" s="35" t="n">
        <v>5</v>
      </c>
      <c r="K60" s="65" t="n">
        <v>36809.08</v>
      </c>
      <c r="L60" s="65" t="n">
        <v>184045.4</v>
      </c>
      <c r="M60" s="66" t="n">
        <f aca="false">DATE(YEAR(B60),MONTH(B60),1)</f>
        <v>45658</v>
      </c>
      <c r="N60" s="35" t="str">
        <f aca="false">IF(G60="","Unknown",G60)</f>
        <v>Mumbai</v>
      </c>
      <c r="O60" s="35" t="str">
        <f aca="false">IF(E60="","Unknown",IF(E60&lt;=25,"18-25",IF(E60&lt;=35,"26-35",IF(E60&lt;=45,"36-45",IF(E60&lt;=55,"46-55","56-65")))))</f>
        <v>46-55</v>
      </c>
      <c r="P60" s="35" t="n">
        <f aca="false">COUNTIF($C$2:$C$1001,C60)</f>
        <v>1</v>
      </c>
      <c r="Q60" s="35" t="n">
        <f aca="false">IF(COUNTIF($C$2:C60,C60)=1,1,0)</f>
        <v>1</v>
      </c>
    </row>
    <row r="61" customFormat="false" ht="15" hidden="false" customHeight="false" outlineLevel="0" collapsed="false">
      <c r="A61" s="35" t="s">
        <v>425</v>
      </c>
      <c r="B61" s="64" t="n">
        <v>45969</v>
      </c>
      <c r="C61" s="35" t="s">
        <v>426</v>
      </c>
      <c r="D61" s="35" t="s">
        <v>335</v>
      </c>
      <c r="E61" s="35" t="n">
        <v>46</v>
      </c>
      <c r="F61" s="35" t="s">
        <v>234</v>
      </c>
      <c r="G61" s="35" t="s">
        <v>222</v>
      </c>
      <c r="H61" s="35" t="s">
        <v>209</v>
      </c>
      <c r="I61" s="35" t="s">
        <v>200</v>
      </c>
      <c r="J61" s="35" t="n">
        <v>4</v>
      </c>
      <c r="K61" s="65" t="n">
        <v>25292.97</v>
      </c>
      <c r="L61" s="65" t="n">
        <v>101171.88</v>
      </c>
      <c r="M61" s="66" t="n">
        <f aca="false">DATE(YEAR(B61),MONTH(B61),1)</f>
        <v>45962</v>
      </c>
      <c r="N61" s="35" t="str">
        <f aca="false">IF(G61="","Unknown",G61)</f>
        <v>Pune</v>
      </c>
      <c r="O61" s="35" t="str">
        <f aca="false">IF(E61="","Unknown",IF(E61&lt;=25,"18-25",IF(E61&lt;=35,"26-35",IF(E61&lt;=45,"36-45",IF(E61&lt;=55,"46-55","56-65")))))</f>
        <v>46-55</v>
      </c>
      <c r="P61" s="35" t="n">
        <f aca="false">COUNTIF($C$2:$C$1001,C61)</f>
        <v>1</v>
      </c>
      <c r="Q61" s="35" t="n">
        <f aca="false">IF(COUNTIF($C$2:C61,C61)=1,1,0)</f>
        <v>1</v>
      </c>
    </row>
    <row r="62" customFormat="false" ht="15" hidden="false" customHeight="false" outlineLevel="0" collapsed="false">
      <c r="A62" s="35" t="s">
        <v>427</v>
      </c>
      <c r="B62" s="64" t="n">
        <v>45844</v>
      </c>
      <c r="C62" s="35" t="s">
        <v>428</v>
      </c>
      <c r="D62" s="35" t="s">
        <v>329</v>
      </c>
      <c r="E62" s="35" t="n">
        <v>27</v>
      </c>
      <c r="F62" s="35" t="s">
        <v>234</v>
      </c>
      <c r="G62" s="35" t="s">
        <v>219</v>
      </c>
      <c r="H62" s="35" t="s">
        <v>213</v>
      </c>
      <c r="I62" s="35" t="s">
        <v>204</v>
      </c>
      <c r="J62" s="35" t="n">
        <v>1</v>
      </c>
      <c r="K62" s="65" t="n">
        <v>29263.26</v>
      </c>
      <c r="L62" s="65" t="n">
        <v>29263.26</v>
      </c>
      <c r="M62" s="66" t="n">
        <f aca="false">DATE(YEAR(B62),MONTH(B62),1)</f>
        <v>45839</v>
      </c>
      <c r="N62" s="35" t="str">
        <f aca="false">IF(G62="","Unknown",G62)</f>
        <v>Mumbai</v>
      </c>
      <c r="O62" s="35" t="str">
        <f aca="false">IF(E62="","Unknown",IF(E62&lt;=25,"18-25",IF(E62&lt;=35,"26-35",IF(E62&lt;=45,"36-45",IF(E62&lt;=55,"46-55","56-65")))))</f>
        <v>26-35</v>
      </c>
      <c r="P62" s="35" t="n">
        <f aca="false">COUNTIF($C$2:$C$1001,C62)</f>
        <v>1</v>
      </c>
      <c r="Q62" s="35" t="n">
        <f aca="false">IF(COUNTIF($C$2:C62,C62)=1,1,0)</f>
        <v>1</v>
      </c>
    </row>
    <row r="63" customFormat="false" ht="15" hidden="false" customHeight="false" outlineLevel="0" collapsed="false">
      <c r="A63" s="35" t="s">
        <v>429</v>
      </c>
      <c r="B63" s="64" t="n">
        <v>45853</v>
      </c>
      <c r="C63" s="35" t="s">
        <v>430</v>
      </c>
      <c r="D63" s="35" t="s">
        <v>431</v>
      </c>
      <c r="E63" s="35" t="n">
        <v>43</v>
      </c>
      <c r="F63" s="35" t="s">
        <v>235</v>
      </c>
      <c r="G63" s="35" t="s">
        <v>217</v>
      </c>
      <c r="H63" s="35" t="s">
        <v>208</v>
      </c>
      <c r="I63" s="35" t="s">
        <v>200</v>
      </c>
      <c r="J63" s="35" t="n">
        <v>3</v>
      </c>
      <c r="K63" s="65" t="n">
        <v>5679.91</v>
      </c>
      <c r="L63" s="65" t="n">
        <v>17039.73</v>
      </c>
      <c r="M63" s="66" t="n">
        <f aca="false">DATE(YEAR(B63),MONTH(B63),1)</f>
        <v>45839</v>
      </c>
      <c r="N63" s="35" t="str">
        <f aca="false">IF(G63="","Unknown",G63)</f>
        <v>Kolkata</v>
      </c>
      <c r="O63" s="35" t="str">
        <f aca="false">IF(E63="","Unknown",IF(E63&lt;=25,"18-25",IF(E63&lt;=35,"26-35",IF(E63&lt;=45,"36-45",IF(E63&lt;=55,"46-55","56-65")))))</f>
        <v>36-45</v>
      </c>
      <c r="P63" s="35" t="n">
        <f aca="false">COUNTIF($C$2:$C$1001,C63)</f>
        <v>1</v>
      </c>
      <c r="Q63" s="35" t="n">
        <f aca="false">IF(COUNTIF($C$2:C63,C63)=1,1,0)</f>
        <v>1</v>
      </c>
    </row>
    <row r="64" customFormat="false" ht="15" hidden="false" customHeight="false" outlineLevel="0" collapsed="false">
      <c r="A64" s="35" t="s">
        <v>432</v>
      </c>
      <c r="B64" s="64" t="n">
        <v>45926</v>
      </c>
      <c r="C64" s="35" t="s">
        <v>433</v>
      </c>
      <c r="D64" s="35" t="s">
        <v>284</v>
      </c>
      <c r="E64" s="35" t="n">
        <v>21</v>
      </c>
      <c r="F64" s="35" t="s">
        <v>234</v>
      </c>
      <c r="G64" s="35" t="s">
        <v>220</v>
      </c>
      <c r="H64" s="35" t="s">
        <v>212</v>
      </c>
      <c r="I64" s="35" t="s">
        <v>203</v>
      </c>
      <c r="J64" s="35" t="n">
        <v>6</v>
      </c>
      <c r="K64" s="65" t="n">
        <v>46235.96</v>
      </c>
      <c r="L64" s="65" t="n">
        <v>277415.76</v>
      </c>
      <c r="M64" s="66" t="n">
        <f aca="false">DATE(YEAR(B64),MONTH(B64),1)</f>
        <v>45901</v>
      </c>
      <c r="N64" s="35" t="str">
        <f aca="false">IF(G64="","Unknown",G64)</f>
        <v>Hyderabad</v>
      </c>
      <c r="O64" s="35" t="str">
        <f aca="false">IF(E64="","Unknown",IF(E64&lt;=25,"18-25",IF(E64&lt;=35,"26-35",IF(E64&lt;=45,"36-45",IF(E64&lt;=55,"46-55","56-65")))))</f>
        <v>18-25</v>
      </c>
      <c r="P64" s="35" t="n">
        <f aca="false">COUNTIF($C$2:$C$1001,C64)</f>
        <v>1</v>
      </c>
      <c r="Q64" s="35" t="n">
        <f aca="false">IF(COUNTIF($C$2:C64,C64)=1,1,0)</f>
        <v>1</v>
      </c>
    </row>
    <row r="65" customFormat="false" ht="15" hidden="false" customHeight="false" outlineLevel="0" collapsed="false">
      <c r="A65" s="35" t="s">
        <v>434</v>
      </c>
      <c r="B65" s="64" t="n">
        <v>45793</v>
      </c>
      <c r="C65" s="35" t="s">
        <v>435</v>
      </c>
      <c r="D65" s="35" t="s">
        <v>436</v>
      </c>
      <c r="E65" s="35" t="n">
        <v>47</v>
      </c>
      <c r="F65" s="35" t="s">
        <v>234</v>
      </c>
      <c r="G65" s="35" t="s">
        <v>223</v>
      </c>
      <c r="H65" s="35" t="s">
        <v>211</v>
      </c>
      <c r="I65" s="35" t="s">
        <v>202</v>
      </c>
      <c r="J65" s="35" t="n">
        <v>9</v>
      </c>
      <c r="K65" s="65" t="n">
        <v>27164.06</v>
      </c>
      <c r="L65" s="65" t="n">
        <v>244476.54</v>
      </c>
      <c r="M65" s="66" t="n">
        <f aca="false">DATE(YEAR(B65),MONTH(B65),1)</f>
        <v>45778</v>
      </c>
      <c r="N65" s="35" t="str">
        <f aca="false">IF(G65="","Unknown",G65)</f>
        <v>Gaya</v>
      </c>
      <c r="O65" s="35" t="str">
        <f aca="false">IF(E65="","Unknown",IF(E65&lt;=25,"18-25",IF(E65&lt;=35,"26-35",IF(E65&lt;=45,"36-45",IF(E65&lt;=55,"46-55","56-65")))))</f>
        <v>46-55</v>
      </c>
      <c r="P65" s="35" t="n">
        <f aca="false">COUNTIF($C$2:$C$1001,C65)</f>
        <v>1</v>
      </c>
      <c r="Q65" s="35" t="n">
        <f aca="false">IF(COUNTIF($C$2:C65,C65)=1,1,0)</f>
        <v>1</v>
      </c>
    </row>
    <row r="66" customFormat="false" ht="15" hidden="false" customHeight="false" outlineLevel="0" collapsed="false">
      <c r="A66" s="35" t="s">
        <v>437</v>
      </c>
      <c r="B66" s="64" t="n">
        <v>45863</v>
      </c>
      <c r="C66" s="35" t="s">
        <v>438</v>
      </c>
      <c r="D66" s="35" t="s">
        <v>439</v>
      </c>
      <c r="E66" s="35" t="n">
        <v>53</v>
      </c>
      <c r="F66" s="35" t="s">
        <v>234</v>
      </c>
      <c r="G66" s="35" t="s">
        <v>217</v>
      </c>
      <c r="H66" s="35" t="s">
        <v>209</v>
      </c>
      <c r="I66" s="35" t="s">
        <v>200</v>
      </c>
      <c r="J66" s="35" t="n">
        <v>10</v>
      </c>
      <c r="K66" s="65" t="n">
        <v>8905.49</v>
      </c>
      <c r="L66" s="65" t="n">
        <v>89054.9</v>
      </c>
      <c r="M66" s="66" t="n">
        <f aca="false">DATE(YEAR(B66),MONTH(B66),1)</f>
        <v>45839</v>
      </c>
      <c r="N66" s="35" t="str">
        <f aca="false">IF(G66="","Unknown",G66)</f>
        <v>Kolkata</v>
      </c>
      <c r="O66" s="35" t="str">
        <f aca="false">IF(E66="","Unknown",IF(E66&lt;=25,"18-25",IF(E66&lt;=35,"26-35",IF(E66&lt;=45,"36-45",IF(E66&lt;=55,"46-55","56-65")))))</f>
        <v>46-55</v>
      </c>
      <c r="P66" s="35" t="n">
        <f aca="false">COUNTIF($C$2:$C$1001,C66)</f>
        <v>1</v>
      </c>
      <c r="Q66" s="35" t="n">
        <f aca="false">IF(COUNTIF($C$2:C66,C66)=1,1,0)</f>
        <v>1</v>
      </c>
    </row>
    <row r="67" customFormat="false" ht="15" hidden="false" customHeight="false" outlineLevel="0" collapsed="false">
      <c r="A67" s="35" t="s">
        <v>440</v>
      </c>
      <c r="B67" s="64" t="n">
        <v>45687</v>
      </c>
      <c r="C67" s="35" t="s">
        <v>441</v>
      </c>
      <c r="D67" s="35" t="s">
        <v>442</v>
      </c>
      <c r="E67" s="35" t="n">
        <v>36</v>
      </c>
      <c r="F67" s="35" t="s">
        <v>235</v>
      </c>
      <c r="G67" s="35" t="s">
        <v>216</v>
      </c>
      <c r="H67" s="35" t="s">
        <v>210</v>
      </c>
      <c r="I67" s="35" t="s">
        <v>201</v>
      </c>
      <c r="J67" s="35" t="n">
        <v>10</v>
      </c>
      <c r="K67" s="65" t="n">
        <v>17406.52</v>
      </c>
      <c r="L67" s="65" t="n">
        <v>174065.2</v>
      </c>
      <c r="M67" s="66" t="n">
        <f aca="false">DATE(YEAR(B67),MONTH(B67),1)</f>
        <v>45658</v>
      </c>
      <c r="N67" s="35" t="str">
        <f aca="false">IF(G67="","Unknown",G67)</f>
        <v>Patna</v>
      </c>
      <c r="O67" s="35" t="str">
        <f aca="false">IF(E67="","Unknown",IF(E67&lt;=25,"18-25",IF(E67&lt;=35,"26-35",IF(E67&lt;=45,"36-45",IF(E67&lt;=55,"46-55","56-65")))))</f>
        <v>36-45</v>
      </c>
      <c r="P67" s="35" t="n">
        <f aca="false">COUNTIF($C$2:$C$1001,C67)</f>
        <v>1</v>
      </c>
      <c r="Q67" s="35" t="n">
        <f aca="false">IF(COUNTIF($C$2:C67,C67)=1,1,0)</f>
        <v>1</v>
      </c>
    </row>
    <row r="68" customFormat="false" ht="15" hidden="false" customHeight="false" outlineLevel="0" collapsed="false">
      <c r="A68" s="35" t="s">
        <v>443</v>
      </c>
      <c r="B68" s="64" t="n">
        <v>45713</v>
      </c>
      <c r="C68" s="35" t="s">
        <v>444</v>
      </c>
      <c r="D68" s="35" t="s">
        <v>269</v>
      </c>
      <c r="E68" s="35" t="n">
        <v>39</v>
      </c>
      <c r="F68" s="35" t="s">
        <v>235</v>
      </c>
      <c r="G68" s="35" t="s">
        <v>221</v>
      </c>
      <c r="H68" s="35" t="s">
        <v>212</v>
      </c>
      <c r="I68" s="35" t="s">
        <v>203</v>
      </c>
      <c r="J68" s="35" t="n">
        <v>5</v>
      </c>
      <c r="K68" s="65" t="n">
        <v>27366.58</v>
      </c>
      <c r="L68" s="65" t="n">
        <v>136832.9</v>
      </c>
      <c r="M68" s="66" t="n">
        <f aca="false">DATE(YEAR(B68),MONTH(B68),1)</f>
        <v>45689</v>
      </c>
      <c r="N68" s="35" t="str">
        <f aca="false">IF(G68="","Unknown",G68)</f>
        <v>Delhi</v>
      </c>
      <c r="O68" s="35" t="str">
        <f aca="false">IF(E68="","Unknown",IF(E68&lt;=25,"18-25",IF(E68&lt;=35,"26-35",IF(E68&lt;=45,"36-45",IF(E68&lt;=55,"46-55","56-65")))))</f>
        <v>36-45</v>
      </c>
      <c r="P68" s="35" t="n">
        <f aca="false">COUNTIF($C$2:$C$1001,C68)</f>
        <v>1</v>
      </c>
      <c r="Q68" s="35" t="n">
        <f aca="false">IF(COUNTIF($C$2:C68,C68)=1,1,0)</f>
        <v>1</v>
      </c>
    </row>
    <row r="69" customFormat="false" ht="15" hidden="false" customHeight="false" outlineLevel="0" collapsed="false">
      <c r="A69" s="35" t="s">
        <v>445</v>
      </c>
      <c r="B69" s="64" t="n">
        <v>45832</v>
      </c>
      <c r="C69" s="35" t="s">
        <v>446</v>
      </c>
      <c r="D69" s="35" t="s">
        <v>447</v>
      </c>
      <c r="E69" s="35" t="n">
        <v>40</v>
      </c>
      <c r="F69" s="35" t="s">
        <v>235</v>
      </c>
      <c r="G69" s="35" t="s">
        <v>220</v>
      </c>
      <c r="H69" s="35" t="s">
        <v>210</v>
      </c>
      <c r="I69" s="35" t="s">
        <v>201</v>
      </c>
      <c r="J69" s="35" t="n">
        <v>5</v>
      </c>
      <c r="K69" s="65" t="n">
        <v>41282.63</v>
      </c>
      <c r="L69" s="65" t="n">
        <v>206413.15</v>
      </c>
      <c r="M69" s="66" t="n">
        <f aca="false">DATE(YEAR(B69),MONTH(B69),1)</f>
        <v>45809</v>
      </c>
      <c r="N69" s="35" t="str">
        <f aca="false">IF(G69="","Unknown",G69)</f>
        <v>Hyderabad</v>
      </c>
      <c r="O69" s="35" t="str">
        <f aca="false">IF(E69="","Unknown",IF(E69&lt;=25,"18-25",IF(E69&lt;=35,"26-35",IF(E69&lt;=45,"36-45",IF(E69&lt;=55,"46-55","56-65")))))</f>
        <v>36-45</v>
      </c>
      <c r="P69" s="35" t="n">
        <f aca="false">COUNTIF($C$2:$C$1001,C69)</f>
        <v>1</v>
      </c>
      <c r="Q69" s="35" t="n">
        <f aca="false">IF(COUNTIF($C$2:C69,C69)=1,1,0)</f>
        <v>1</v>
      </c>
    </row>
    <row r="70" customFormat="false" ht="15" hidden="false" customHeight="false" outlineLevel="0" collapsed="false">
      <c r="A70" s="35" t="s">
        <v>448</v>
      </c>
      <c r="B70" s="64" t="n">
        <v>45884</v>
      </c>
      <c r="C70" s="35" t="s">
        <v>449</v>
      </c>
      <c r="D70" s="35" t="s">
        <v>450</v>
      </c>
      <c r="E70" s="35" t="n">
        <v>26</v>
      </c>
      <c r="F70" s="35" t="s">
        <v>235</v>
      </c>
      <c r="G70" s="35" t="s">
        <v>221</v>
      </c>
      <c r="H70" s="35" t="s">
        <v>210</v>
      </c>
      <c r="I70" s="35" t="s">
        <v>201</v>
      </c>
      <c r="J70" s="35" t="n">
        <v>8</v>
      </c>
      <c r="K70" s="65" t="n">
        <v>13645.41</v>
      </c>
      <c r="L70" s="65" t="n">
        <v>109163.28</v>
      </c>
      <c r="M70" s="66" t="n">
        <f aca="false">DATE(YEAR(B70),MONTH(B70),1)</f>
        <v>45870</v>
      </c>
      <c r="N70" s="35" t="str">
        <f aca="false">IF(G70="","Unknown",G70)</f>
        <v>Delhi</v>
      </c>
      <c r="O70" s="35" t="str">
        <f aca="false">IF(E70="","Unknown",IF(E70&lt;=25,"18-25",IF(E70&lt;=35,"26-35",IF(E70&lt;=45,"36-45",IF(E70&lt;=55,"46-55","56-65")))))</f>
        <v>26-35</v>
      </c>
      <c r="P70" s="35" t="n">
        <f aca="false">COUNTIF($C$2:$C$1001,C70)</f>
        <v>1</v>
      </c>
      <c r="Q70" s="35" t="n">
        <f aca="false">IF(COUNTIF($C$2:C70,C70)=1,1,0)</f>
        <v>1</v>
      </c>
    </row>
    <row r="71" customFormat="false" ht="15" hidden="false" customHeight="false" outlineLevel="0" collapsed="false">
      <c r="A71" s="35" t="s">
        <v>451</v>
      </c>
      <c r="B71" s="64" t="n">
        <v>45951</v>
      </c>
      <c r="C71" s="35" t="s">
        <v>452</v>
      </c>
      <c r="D71" s="35" t="s">
        <v>453</v>
      </c>
      <c r="E71" s="35" t="n">
        <v>56</v>
      </c>
      <c r="F71" s="35" t="s">
        <v>234</v>
      </c>
      <c r="G71" s="35" t="s">
        <v>216</v>
      </c>
      <c r="H71" s="35" t="s">
        <v>212</v>
      </c>
      <c r="I71" s="35" t="s">
        <v>203</v>
      </c>
      <c r="J71" s="35" t="n">
        <v>8</v>
      </c>
      <c r="K71" s="65" t="n">
        <v>27337.64</v>
      </c>
      <c r="L71" s="65" t="n">
        <v>218701.12</v>
      </c>
      <c r="M71" s="66" t="n">
        <f aca="false">DATE(YEAR(B71),MONTH(B71),1)</f>
        <v>45931</v>
      </c>
      <c r="N71" s="35" t="str">
        <f aca="false">IF(G71="","Unknown",G71)</f>
        <v>Patna</v>
      </c>
      <c r="O71" s="35" t="str">
        <f aca="false">IF(E71="","Unknown",IF(E71&lt;=25,"18-25",IF(E71&lt;=35,"26-35",IF(E71&lt;=45,"36-45",IF(E71&lt;=55,"46-55","56-65")))))</f>
        <v>56-65</v>
      </c>
      <c r="P71" s="35" t="n">
        <f aca="false">COUNTIF($C$2:$C$1001,C71)</f>
        <v>1</v>
      </c>
      <c r="Q71" s="35" t="n">
        <f aca="false">IF(COUNTIF($C$2:C71,C71)=1,1,0)</f>
        <v>1</v>
      </c>
    </row>
    <row r="72" customFormat="false" ht="15" hidden="false" customHeight="false" outlineLevel="0" collapsed="false">
      <c r="A72" s="35" t="s">
        <v>454</v>
      </c>
      <c r="B72" s="64" t="n">
        <v>45894</v>
      </c>
      <c r="C72" s="35" t="s">
        <v>455</v>
      </c>
      <c r="D72" s="35" t="s">
        <v>456</v>
      </c>
      <c r="E72" s="35" t="n">
        <v>52</v>
      </c>
      <c r="F72" s="35" t="s">
        <v>235</v>
      </c>
      <c r="G72" s="35" t="s">
        <v>220</v>
      </c>
      <c r="H72" s="35" t="s">
        <v>213</v>
      </c>
      <c r="I72" s="35" t="s">
        <v>204</v>
      </c>
      <c r="J72" s="35" t="n">
        <v>5</v>
      </c>
      <c r="K72" s="65" t="n">
        <v>29219.72</v>
      </c>
      <c r="L72" s="65" t="n">
        <v>146098.6</v>
      </c>
      <c r="M72" s="66" t="n">
        <f aca="false">DATE(YEAR(B72),MONTH(B72),1)</f>
        <v>45870</v>
      </c>
      <c r="N72" s="35" t="str">
        <f aca="false">IF(G72="","Unknown",G72)</f>
        <v>Hyderabad</v>
      </c>
      <c r="O72" s="35" t="str">
        <f aca="false">IF(E72="","Unknown",IF(E72&lt;=25,"18-25",IF(E72&lt;=35,"26-35",IF(E72&lt;=45,"36-45",IF(E72&lt;=55,"46-55","56-65")))))</f>
        <v>46-55</v>
      </c>
      <c r="P72" s="35" t="n">
        <f aca="false">COUNTIF($C$2:$C$1001,C72)</f>
        <v>1</v>
      </c>
      <c r="Q72" s="35" t="n">
        <f aca="false">IF(COUNTIF($C$2:C72,C72)=1,1,0)</f>
        <v>1</v>
      </c>
    </row>
    <row r="73" customFormat="false" ht="15" hidden="false" customHeight="false" outlineLevel="0" collapsed="false">
      <c r="A73" s="35" t="s">
        <v>457</v>
      </c>
      <c r="B73" s="64" t="n">
        <v>45827</v>
      </c>
      <c r="C73" s="35" t="s">
        <v>458</v>
      </c>
      <c r="D73" s="35" t="s">
        <v>459</v>
      </c>
      <c r="E73" s="35" t="n">
        <v>45</v>
      </c>
      <c r="F73" s="35" t="s">
        <v>234</v>
      </c>
      <c r="G73" s="35" t="s">
        <v>223</v>
      </c>
      <c r="H73" s="35" t="s">
        <v>211</v>
      </c>
      <c r="I73" s="35" t="s">
        <v>202</v>
      </c>
      <c r="J73" s="35" t="n">
        <v>3</v>
      </c>
      <c r="K73" s="65" t="n">
        <v>8572.65</v>
      </c>
      <c r="L73" s="65" t="n">
        <v>25717.95</v>
      </c>
      <c r="M73" s="66" t="n">
        <f aca="false">DATE(YEAR(B73),MONTH(B73),1)</f>
        <v>45809</v>
      </c>
      <c r="N73" s="35" t="str">
        <f aca="false">IF(G73="","Unknown",G73)</f>
        <v>Gaya</v>
      </c>
      <c r="O73" s="35" t="str">
        <f aca="false">IF(E73="","Unknown",IF(E73&lt;=25,"18-25",IF(E73&lt;=35,"26-35",IF(E73&lt;=45,"36-45",IF(E73&lt;=55,"46-55","56-65")))))</f>
        <v>36-45</v>
      </c>
      <c r="P73" s="35" t="n">
        <f aca="false">COUNTIF($C$2:$C$1001,C73)</f>
        <v>1</v>
      </c>
      <c r="Q73" s="35" t="n">
        <f aca="false">IF(COUNTIF($C$2:C73,C73)=1,1,0)</f>
        <v>1</v>
      </c>
    </row>
    <row r="74" customFormat="false" ht="15" hidden="false" customHeight="false" outlineLevel="0" collapsed="false">
      <c r="A74" s="35" t="s">
        <v>460</v>
      </c>
      <c r="B74" s="64" t="n">
        <v>45995</v>
      </c>
      <c r="C74" s="35" t="s">
        <v>461</v>
      </c>
      <c r="D74" s="35" t="s">
        <v>462</v>
      </c>
      <c r="E74" s="35" t="n">
        <v>27</v>
      </c>
      <c r="F74" s="35" t="s">
        <v>234</v>
      </c>
      <c r="G74" s="35" t="s">
        <v>222</v>
      </c>
      <c r="H74" s="35" t="s">
        <v>208</v>
      </c>
      <c r="I74" s="35" t="s">
        <v>200</v>
      </c>
      <c r="J74" s="35" t="n">
        <v>9</v>
      </c>
      <c r="K74" s="65" t="n">
        <v>45419.62</v>
      </c>
      <c r="L74" s="65" t="n">
        <v>408776.58</v>
      </c>
      <c r="M74" s="66" t="n">
        <f aca="false">DATE(YEAR(B74),MONTH(B74),1)</f>
        <v>45992</v>
      </c>
      <c r="N74" s="35" t="str">
        <f aca="false">IF(G74="","Unknown",G74)</f>
        <v>Pune</v>
      </c>
      <c r="O74" s="35" t="str">
        <f aca="false">IF(E74="","Unknown",IF(E74&lt;=25,"18-25",IF(E74&lt;=35,"26-35",IF(E74&lt;=45,"36-45",IF(E74&lt;=55,"46-55","56-65")))))</f>
        <v>26-35</v>
      </c>
      <c r="P74" s="35" t="n">
        <f aca="false">COUNTIF($C$2:$C$1001,C74)</f>
        <v>1</v>
      </c>
      <c r="Q74" s="35" t="n">
        <f aca="false">IF(COUNTIF($C$2:C74,C74)=1,1,0)</f>
        <v>1</v>
      </c>
    </row>
    <row r="75" customFormat="false" ht="15" hidden="false" customHeight="false" outlineLevel="0" collapsed="false">
      <c r="A75" s="35" t="s">
        <v>463</v>
      </c>
      <c r="B75" s="64" t="n">
        <v>45746</v>
      </c>
      <c r="C75" s="35" t="s">
        <v>464</v>
      </c>
      <c r="D75" s="35" t="s">
        <v>465</v>
      </c>
      <c r="E75" s="35" t="n">
        <v>58</v>
      </c>
      <c r="F75" s="35" t="s">
        <v>234</v>
      </c>
      <c r="G75" s="35"/>
      <c r="H75" s="35" t="s">
        <v>209</v>
      </c>
      <c r="I75" s="35" t="s">
        <v>200</v>
      </c>
      <c r="J75" s="35" t="n">
        <v>4</v>
      </c>
      <c r="K75" s="65" t="n">
        <v>21599.26</v>
      </c>
      <c r="L75" s="65" t="n">
        <v>86397.04</v>
      </c>
      <c r="M75" s="66" t="n">
        <f aca="false">DATE(YEAR(B75),MONTH(B75),1)</f>
        <v>45717</v>
      </c>
      <c r="N75" s="35" t="str">
        <f aca="false">IF(G75="","Unknown",G75)</f>
        <v>Unknown</v>
      </c>
      <c r="O75" s="35" t="str">
        <f aca="false">IF(E75="","Unknown",IF(E75&lt;=25,"18-25",IF(E75&lt;=35,"26-35",IF(E75&lt;=45,"36-45",IF(E75&lt;=55,"46-55","56-65")))))</f>
        <v>56-65</v>
      </c>
      <c r="P75" s="35" t="n">
        <f aca="false">COUNTIF($C$2:$C$1001,C75)</f>
        <v>1</v>
      </c>
      <c r="Q75" s="35" t="n">
        <f aca="false">IF(COUNTIF($C$2:C75,C75)=1,1,0)</f>
        <v>1</v>
      </c>
    </row>
    <row r="76" customFormat="false" ht="15" hidden="false" customHeight="false" outlineLevel="0" collapsed="false">
      <c r="A76" s="35" t="s">
        <v>466</v>
      </c>
      <c r="B76" s="64" t="n">
        <v>46021</v>
      </c>
      <c r="C76" s="35" t="s">
        <v>467</v>
      </c>
      <c r="D76" s="35" t="s">
        <v>468</v>
      </c>
      <c r="E76" s="35" t="n">
        <v>45</v>
      </c>
      <c r="F76" s="35" t="s">
        <v>234</v>
      </c>
      <c r="G76" s="35" t="s">
        <v>223</v>
      </c>
      <c r="H76" s="35" t="s">
        <v>208</v>
      </c>
      <c r="I76" s="35" t="s">
        <v>200</v>
      </c>
      <c r="J76" s="35" t="n">
        <v>2</v>
      </c>
      <c r="K76" s="65" t="n">
        <v>8883.45</v>
      </c>
      <c r="L76" s="65" t="n">
        <v>17766.9</v>
      </c>
      <c r="M76" s="66" t="n">
        <f aca="false">DATE(YEAR(B76),MONTH(B76),1)</f>
        <v>45992</v>
      </c>
      <c r="N76" s="35" t="str">
        <f aca="false">IF(G76="","Unknown",G76)</f>
        <v>Gaya</v>
      </c>
      <c r="O76" s="35" t="str">
        <f aca="false">IF(E76="","Unknown",IF(E76&lt;=25,"18-25",IF(E76&lt;=35,"26-35",IF(E76&lt;=45,"36-45",IF(E76&lt;=55,"46-55","56-65")))))</f>
        <v>36-45</v>
      </c>
      <c r="P76" s="35" t="n">
        <f aca="false">COUNTIF($C$2:$C$1001,C76)</f>
        <v>1</v>
      </c>
      <c r="Q76" s="35" t="n">
        <f aca="false">IF(COUNTIF($C$2:C76,C76)=1,1,0)</f>
        <v>1</v>
      </c>
    </row>
    <row r="77" customFormat="false" ht="15" hidden="false" customHeight="false" outlineLevel="0" collapsed="false">
      <c r="A77" s="35" t="s">
        <v>469</v>
      </c>
      <c r="B77" s="64" t="n">
        <v>46018</v>
      </c>
      <c r="C77" s="35" t="s">
        <v>470</v>
      </c>
      <c r="D77" s="35" t="s">
        <v>471</v>
      </c>
      <c r="E77" s="35" t="n">
        <v>22</v>
      </c>
      <c r="F77" s="35" t="s">
        <v>235</v>
      </c>
      <c r="G77" s="35" t="s">
        <v>218</v>
      </c>
      <c r="H77" s="35" t="s">
        <v>213</v>
      </c>
      <c r="I77" s="35" t="s">
        <v>204</v>
      </c>
      <c r="J77" s="35" t="n">
        <v>9</v>
      </c>
      <c r="K77" s="65" t="n">
        <v>12290.45</v>
      </c>
      <c r="L77" s="65" t="n">
        <v>110614.05</v>
      </c>
      <c r="M77" s="66" t="n">
        <f aca="false">DATE(YEAR(B77),MONTH(B77),1)</f>
        <v>45992</v>
      </c>
      <c r="N77" s="35" t="str">
        <f aca="false">IF(G77="","Unknown",G77)</f>
        <v>Bengaluru</v>
      </c>
      <c r="O77" s="35" t="str">
        <f aca="false">IF(E77="","Unknown",IF(E77&lt;=25,"18-25",IF(E77&lt;=35,"26-35",IF(E77&lt;=45,"36-45",IF(E77&lt;=55,"46-55","56-65")))))</f>
        <v>18-25</v>
      </c>
      <c r="P77" s="35" t="n">
        <f aca="false">COUNTIF($C$2:$C$1001,C77)</f>
        <v>1</v>
      </c>
      <c r="Q77" s="35" t="n">
        <f aca="false">IF(COUNTIF($C$2:C77,C77)=1,1,0)</f>
        <v>1</v>
      </c>
    </row>
    <row r="78" customFormat="false" ht="15" hidden="false" customHeight="false" outlineLevel="0" collapsed="false">
      <c r="A78" s="35" t="s">
        <v>472</v>
      </c>
      <c r="B78" s="64" t="n">
        <v>45761</v>
      </c>
      <c r="C78" s="35" t="s">
        <v>473</v>
      </c>
      <c r="D78" s="35" t="s">
        <v>474</v>
      </c>
      <c r="E78" s="35" t="n">
        <v>58</v>
      </c>
      <c r="F78" s="35" t="s">
        <v>235</v>
      </c>
      <c r="G78" s="35" t="s">
        <v>216</v>
      </c>
      <c r="H78" s="35" t="s">
        <v>210</v>
      </c>
      <c r="I78" s="35" t="s">
        <v>201</v>
      </c>
      <c r="J78" s="35" t="n">
        <v>6</v>
      </c>
      <c r="K78" s="65" t="n">
        <v>10784.64</v>
      </c>
      <c r="L78" s="65" t="n">
        <v>64707.84</v>
      </c>
      <c r="M78" s="66" t="n">
        <f aca="false">DATE(YEAR(B78),MONTH(B78),1)</f>
        <v>45748</v>
      </c>
      <c r="N78" s="35" t="str">
        <f aca="false">IF(G78="","Unknown",G78)</f>
        <v>Patna</v>
      </c>
      <c r="O78" s="35" t="str">
        <f aca="false">IF(E78="","Unknown",IF(E78&lt;=25,"18-25",IF(E78&lt;=35,"26-35",IF(E78&lt;=45,"36-45",IF(E78&lt;=55,"46-55","56-65")))))</f>
        <v>56-65</v>
      </c>
      <c r="P78" s="35" t="n">
        <f aca="false">COUNTIF($C$2:$C$1001,C78)</f>
        <v>1</v>
      </c>
      <c r="Q78" s="35" t="n">
        <f aca="false">IF(COUNTIF($C$2:C78,C78)=1,1,0)</f>
        <v>1</v>
      </c>
    </row>
    <row r="79" customFormat="false" ht="15" hidden="false" customHeight="false" outlineLevel="0" collapsed="false">
      <c r="A79" s="35" t="s">
        <v>475</v>
      </c>
      <c r="B79" s="64" t="n">
        <v>46023</v>
      </c>
      <c r="C79" s="35" t="s">
        <v>476</v>
      </c>
      <c r="D79" s="35" t="s">
        <v>477</v>
      </c>
      <c r="E79" s="35" t="n">
        <v>62</v>
      </c>
      <c r="F79" s="35" t="s">
        <v>235</v>
      </c>
      <c r="G79" s="35" t="s">
        <v>221</v>
      </c>
      <c r="H79" s="35" t="s">
        <v>211</v>
      </c>
      <c r="I79" s="35" t="s">
        <v>202</v>
      </c>
      <c r="J79" s="35" t="n">
        <v>1</v>
      </c>
      <c r="K79" s="65" t="n">
        <v>35862.34</v>
      </c>
      <c r="L79" s="65" t="n">
        <v>35862.34</v>
      </c>
      <c r="M79" s="66" t="n">
        <f aca="false">DATE(YEAR(B79),MONTH(B79),1)</f>
        <v>46023</v>
      </c>
      <c r="N79" s="35" t="str">
        <f aca="false">IF(G79="","Unknown",G79)</f>
        <v>Delhi</v>
      </c>
      <c r="O79" s="35" t="str">
        <f aca="false">IF(E79="","Unknown",IF(E79&lt;=25,"18-25",IF(E79&lt;=35,"26-35",IF(E79&lt;=45,"36-45",IF(E79&lt;=55,"46-55","56-65")))))</f>
        <v>56-65</v>
      </c>
      <c r="P79" s="35" t="n">
        <f aca="false">COUNTIF($C$2:$C$1001,C79)</f>
        <v>2</v>
      </c>
      <c r="Q79" s="35" t="n">
        <f aca="false">IF(COUNTIF($C$2:C79,C79)=1,1,0)</f>
        <v>1</v>
      </c>
    </row>
    <row r="80" customFormat="false" ht="15" hidden="false" customHeight="false" outlineLevel="0" collapsed="false">
      <c r="A80" s="35" t="s">
        <v>478</v>
      </c>
      <c r="B80" s="64" t="n">
        <v>45890</v>
      </c>
      <c r="C80" s="35" t="s">
        <v>479</v>
      </c>
      <c r="D80" s="35" t="s">
        <v>480</v>
      </c>
      <c r="E80" s="35" t="n">
        <v>61</v>
      </c>
      <c r="F80" s="35" t="s">
        <v>235</v>
      </c>
      <c r="G80" s="35" t="s">
        <v>223</v>
      </c>
      <c r="H80" s="35" t="s">
        <v>211</v>
      </c>
      <c r="I80" s="35" t="s">
        <v>202</v>
      </c>
      <c r="J80" s="35" t="n">
        <v>1</v>
      </c>
      <c r="K80" s="65" t="n">
        <v>13129.64</v>
      </c>
      <c r="L80" s="65" t="n">
        <v>13129.64</v>
      </c>
      <c r="M80" s="66" t="n">
        <f aca="false">DATE(YEAR(B80),MONTH(B80),1)</f>
        <v>45870</v>
      </c>
      <c r="N80" s="35" t="str">
        <f aca="false">IF(G80="","Unknown",G80)</f>
        <v>Gaya</v>
      </c>
      <c r="O80" s="35" t="str">
        <f aca="false">IF(E80="","Unknown",IF(E80&lt;=25,"18-25",IF(E80&lt;=35,"26-35",IF(E80&lt;=45,"36-45",IF(E80&lt;=55,"46-55","56-65")))))</f>
        <v>56-65</v>
      </c>
      <c r="P80" s="35" t="n">
        <f aca="false">COUNTIF($C$2:$C$1001,C80)</f>
        <v>1</v>
      </c>
      <c r="Q80" s="35" t="n">
        <f aca="false">IF(COUNTIF($C$2:C80,C80)=1,1,0)</f>
        <v>1</v>
      </c>
    </row>
    <row r="81" customFormat="false" ht="15" hidden="false" customHeight="false" outlineLevel="0" collapsed="false">
      <c r="A81" s="35" t="s">
        <v>481</v>
      </c>
      <c r="B81" s="64" t="n">
        <v>45721</v>
      </c>
      <c r="C81" s="35" t="s">
        <v>482</v>
      </c>
      <c r="D81" s="35" t="s">
        <v>483</v>
      </c>
      <c r="E81" s="35" t="n">
        <v>19</v>
      </c>
      <c r="F81" s="35" t="s">
        <v>235</v>
      </c>
      <c r="G81" s="35" t="s">
        <v>223</v>
      </c>
      <c r="H81" s="35" t="s">
        <v>212</v>
      </c>
      <c r="I81" s="35" t="s">
        <v>203</v>
      </c>
      <c r="J81" s="35" t="n">
        <v>9</v>
      </c>
      <c r="K81" s="65" t="n">
        <v>45747.37</v>
      </c>
      <c r="L81" s="65" t="n">
        <v>411726.33</v>
      </c>
      <c r="M81" s="66" t="n">
        <f aca="false">DATE(YEAR(B81),MONTH(B81),1)</f>
        <v>45717</v>
      </c>
      <c r="N81" s="35" t="str">
        <f aca="false">IF(G81="","Unknown",G81)</f>
        <v>Gaya</v>
      </c>
      <c r="O81" s="35" t="str">
        <f aca="false">IF(E81="","Unknown",IF(E81&lt;=25,"18-25",IF(E81&lt;=35,"26-35",IF(E81&lt;=45,"36-45",IF(E81&lt;=55,"46-55","56-65")))))</f>
        <v>18-25</v>
      </c>
      <c r="P81" s="35" t="n">
        <f aca="false">COUNTIF($C$2:$C$1001,C81)</f>
        <v>1</v>
      </c>
      <c r="Q81" s="35" t="n">
        <f aca="false">IF(COUNTIF($C$2:C81,C81)=1,1,0)</f>
        <v>1</v>
      </c>
    </row>
    <row r="82" customFormat="false" ht="15" hidden="false" customHeight="false" outlineLevel="0" collapsed="false">
      <c r="A82" s="35" t="s">
        <v>484</v>
      </c>
      <c r="B82" s="64" t="n">
        <v>45901</v>
      </c>
      <c r="C82" s="35" t="s">
        <v>485</v>
      </c>
      <c r="D82" s="35" t="s">
        <v>317</v>
      </c>
      <c r="E82" s="35" t="n">
        <v>25</v>
      </c>
      <c r="F82" s="35" t="s">
        <v>235</v>
      </c>
      <c r="G82" s="35" t="s">
        <v>220</v>
      </c>
      <c r="H82" s="35" t="s">
        <v>210</v>
      </c>
      <c r="I82" s="35" t="s">
        <v>201</v>
      </c>
      <c r="J82" s="35" t="n">
        <v>6</v>
      </c>
      <c r="K82" s="65" t="n">
        <v>5849.89</v>
      </c>
      <c r="L82" s="65" t="n">
        <v>35099.34</v>
      </c>
      <c r="M82" s="66" t="n">
        <f aca="false">DATE(YEAR(B82),MONTH(B82),1)</f>
        <v>45901</v>
      </c>
      <c r="N82" s="35" t="str">
        <f aca="false">IF(G82="","Unknown",G82)</f>
        <v>Hyderabad</v>
      </c>
      <c r="O82" s="35" t="str">
        <f aca="false">IF(E82="","Unknown",IF(E82&lt;=25,"18-25",IF(E82&lt;=35,"26-35",IF(E82&lt;=45,"36-45",IF(E82&lt;=55,"46-55","56-65")))))</f>
        <v>18-25</v>
      </c>
      <c r="P82" s="35" t="n">
        <f aca="false">COUNTIF($C$2:$C$1001,C82)</f>
        <v>1</v>
      </c>
      <c r="Q82" s="35" t="n">
        <f aca="false">IF(COUNTIF($C$2:C82,C82)=1,1,0)</f>
        <v>1</v>
      </c>
    </row>
    <row r="83" customFormat="false" ht="15" hidden="false" customHeight="false" outlineLevel="0" collapsed="false">
      <c r="A83" s="35" t="s">
        <v>486</v>
      </c>
      <c r="B83" s="64" t="n">
        <v>45663</v>
      </c>
      <c r="C83" s="35" t="s">
        <v>487</v>
      </c>
      <c r="D83" s="35" t="s">
        <v>488</v>
      </c>
      <c r="E83" s="35" t="n">
        <v>30</v>
      </c>
      <c r="F83" s="35" t="s">
        <v>234</v>
      </c>
      <c r="G83" s="35" t="s">
        <v>220</v>
      </c>
      <c r="H83" s="35" t="s">
        <v>208</v>
      </c>
      <c r="I83" s="35" t="s">
        <v>200</v>
      </c>
      <c r="J83" s="35" t="n">
        <v>9</v>
      </c>
      <c r="K83" s="65" t="n">
        <v>48845.5</v>
      </c>
      <c r="L83" s="65" t="n">
        <v>439609.5</v>
      </c>
      <c r="M83" s="66" t="n">
        <f aca="false">DATE(YEAR(B83),MONTH(B83),1)</f>
        <v>45658</v>
      </c>
      <c r="N83" s="35" t="str">
        <f aca="false">IF(G83="","Unknown",G83)</f>
        <v>Hyderabad</v>
      </c>
      <c r="O83" s="35" t="str">
        <f aca="false">IF(E83="","Unknown",IF(E83&lt;=25,"18-25",IF(E83&lt;=35,"26-35",IF(E83&lt;=45,"36-45",IF(E83&lt;=55,"46-55","56-65")))))</f>
        <v>26-35</v>
      </c>
      <c r="P83" s="35" t="n">
        <f aca="false">COUNTIF($C$2:$C$1001,C83)</f>
        <v>1</v>
      </c>
      <c r="Q83" s="35" t="n">
        <f aca="false">IF(COUNTIF($C$2:C83,C83)=1,1,0)</f>
        <v>1</v>
      </c>
    </row>
    <row r="84" customFormat="false" ht="15" hidden="false" customHeight="false" outlineLevel="0" collapsed="false">
      <c r="A84" s="35" t="s">
        <v>489</v>
      </c>
      <c r="B84" s="64" t="n">
        <v>45954</v>
      </c>
      <c r="C84" s="35" t="s">
        <v>490</v>
      </c>
      <c r="D84" s="35" t="s">
        <v>491</v>
      </c>
      <c r="E84" s="35" t="n">
        <v>36</v>
      </c>
      <c r="F84" s="35" t="s">
        <v>234</v>
      </c>
      <c r="G84" s="35" t="s">
        <v>223</v>
      </c>
      <c r="H84" s="35" t="s">
        <v>210</v>
      </c>
      <c r="I84" s="35" t="s">
        <v>201</v>
      </c>
      <c r="J84" s="35" t="n">
        <v>9</v>
      </c>
      <c r="K84" s="65" t="n">
        <v>24828.05</v>
      </c>
      <c r="L84" s="65" t="n">
        <v>223452.45</v>
      </c>
      <c r="M84" s="66" t="n">
        <f aca="false">DATE(YEAR(B84),MONTH(B84),1)</f>
        <v>45931</v>
      </c>
      <c r="N84" s="35" t="str">
        <f aca="false">IF(G84="","Unknown",G84)</f>
        <v>Gaya</v>
      </c>
      <c r="O84" s="35" t="str">
        <f aca="false">IF(E84="","Unknown",IF(E84&lt;=25,"18-25",IF(E84&lt;=35,"26-35",IF(E84&lt;=45,"36-45",IF(E84&lt;=55,"46-55","56-65")))))</f>
        <v>36-45</v>
      </c>
      <c r="P84" s="35" t="n">
        <f aca="false">COUNTIF($C$2:$C$1001,C84)</f>
        <v>1</v>
      </c>
      <c r="Q84" s="35" t="n">
        <f aca="false">IF(COUNTIF($C$2:C84,C84)=1,1,0)</f>
        <v>1</v>
      </c>
    </row>
    <row r="85" customFormat="false" ht="15" hidden="false" customHeight="false" outlineLevel="0" collapsed="false">
      <c r="A85" s="35" t="s">
        <v>492</v>
      </c>
      <c r="B85" s="64" t="n">
        <v>45723</v>
      </c>
      <c r="C85" s="35" t="s">
        <v>493</v>
      </c>
      <c r="D85" s="35" t="s">
        <v>494</v>
      </c>
      <c r="E85" s="35" t="n">
        <v>59</v>
      </c>
      <c r="F85" s="35" t="s">
        <v>234</v>
      </c>
      <c r="G85" s="35" t="s">
        <v>221</v>
      </c>
      <c r="H85" s="35" t="s">
        <v>209</v>
      </c>
      <c r="I85" s="35" t="s">
        <v>200</v>
      </c>
      <c r="J85" s="35" t="n">
        <v>8</v>
      </c>
      <c r="K85" s="65" t="n">
        <v>17841.4</v>
      </c>
      <c r="L85" s="65" t="n">
        <v>142731.2</v>
      </c>
      <c r="M85" s="66" t="n">
        <f aca="false">DATE(YEAR(B85),MONTH(B85),1)</f>
        <v>45717</v>
      </c>
      <c r="N85" s="35" t="str">
        <f aca="false">IF(G85="","Unknown",G85)</f>
        <v>Delhi</v>
      </c>
      <c r="O85" s="35" t="str">
        <f aca="false">IF(E85="","Unknown",IF(E85&lt;=25,"18-25",IF(E85&lt;=35,"26-35",IF(E85&lt;=45,"36-45",IF(E85&lt;=55,"46-55","56-65")))))</f>
        <v>56-65</v>
      </c>
      <c r="P85" s="35" t="n">
        <f aca="false">COUNTIF($C$2:$C$1001,C85)</f>
        <v>1</v>
      </c>
      <c r="Q85" s="35" t="n">
        <f aca="false">IF(COUNTIF($C$2:C85,C85)=1,1,0)</f>
        <v>1</v>
      </c>
    </row>
    <row r="86" customFormat="false" ht="15" hidden="false" customHeight="false" outlineLevel="0" collapsed="false">
      <c r="A86" s="35" t="s">
        <v>495</v>
      </c>
      <c r="B86" s="64" t="n">
        <v>45893</v>
      </c>
      <c r="C86" s="35" t="s">
        <v>496</v>
      </c>
      <c r="D86" s="35" t="s">
        <v>497</v>
      </c>
      <c r="E86" s="35" t="n">
        <v>51</v>
      </c>
      <c r="F86" s="35" t="s">
        <v>234</v>
      </c>
      <c r="G86" s="35" t="s">
        <v>220</v>
      </c>
      <c r="H86" s="35" t="s">
        <v>210</v>
      </c>
      <c r="I86" s="35" t="s">
        <v>201</v>
      </c>
      <c r="J86" s="35" t="n">
        <v>10</v>
      </c>
      <c r="K86" s="65" t="n">
        <v>13662.66</v>
      </c>
      <c r="L86" s="65" t="n">
        <v>136626.6</v>
      </c>
      <c r="M86" s="66" t="n">
        <f aca="false">DATE(YEAR(B86),MONTH(B86),1)</f>
        <v>45870</v>
      </c>
      <c r="N86" s="35" t="str">
        <f aca="false">IF(G86="","Unknown",G86)</f>
        <v>Hyderabad</v>
      </c>
      <c r="O86" s="35" t="str">
        <f aca="false">IF(E86="","Unknown",IF(E86&lt;=25,"18-25",IF(E86&lt;=35,"26-35",IF(E86&lt;=45,"36-45",IF(E86&lt;=55,"46-55","56-65")))))</f>
        <v>46-55</v>
      </c>
      <c r="P86" s="35" t="n">
        <f aca="false">COUNTIF($C$2:$C$1001,C86)</f>
        <v>1</v>
      </c>
      <c r="Q86" s="35" t="n">
        <f aca="false">IF(COUNTIF($C$2:C86,C86)=1,1,0)</f>
        <v>1</v>
      </c>
    </row>
    <row r="87" customFormat="false" ht="15" hidden="false" customHeight="false" outlineLevel="0" collapsed="false">
      <c r="A87" s="35" t="s">
        <v>498</v>
      </c>
      <c r="B87" s="64" t="n">
        <v>45733</v>
      </c>
      <c r="C87" s="35" t="s">
        <v>499</v>
      </c>
      <c r="D87" s="35" t="s">
        <v>500</v>
      </c>
      <c r="E87" s="35" t="n">
        <v>56</v>
      </c>
      <c r="F87" s="35" t="s">
        <v>234</v>
      </c>
      <c r="G87" s="35" t="s">
        <v>219</v>
      </c>
      <c r="H87" s="35" t="s">
        <v>210</v>
      </c>
      <c r="I87" s="35" t="s">
        <v>201</v>
      </c>
      <c r="J87" s="35" t="n">
        <v>4</v>
      </c>
      <c r="K87" s="65" t="n">
        <v>12169.49</v>
      </c>
      <c r="L87" s="65" t="n">
        <v>48677.96</v>
      </c>
      <c r="M87" s="66" t="n">
        <f aca="false">DATE(YEAR(B87),MONTH(B87),1)</f>
        <v>45717</v>
      </c>
      <c r="N87" s="35" t="str">
        <f aca="false">IF(G87="","Unknown",G87)</f>
        <v>Mumbai</v>
      </c>
      <c r="O87" s="35" t="str">
        <f aca="false">IF(E87="","Unknown",IF(E87&lt;=25,"18-25",IF(E87&lt;=35,"26-35",IF(E87&lt;=45,"36-45",IF(E87&lt;=55,"46-55","56-65")))))</f>
        <v>56-65</v>
      </c>
      <c r="P87" s="35" t="n">
        <f aca="false">COUNTIF($C$2:$C$1001,C87)</f>
        <v>1</v>
      </c>
      <c r="Q87" s="35" t="n">
        <f aca="false">IF(COUNTIF($C$2:C87,C87)=1,1,0)</f>
        <v>1</v>
      </c>
    </row>
    <row r="88" customFormat="false" ht="15" hidden="false" customHeight="false" outlineLevel="0" collapsed="false">
      <c r="A88" s="35" t="s">
        <v>501</v>
      </c>
      <c r="B88" s="64" t="n">
        <v>46008</v>
      </c>
      <c r="C88" s="35" t="s">
        <v>502</v>
      </c>
      <c r="D88" s="35" t="s">
        <v>503</v>
      </c>
      <c r="E88" s="35" t="n">
        <v>59</v>
      </c>
      <c r="F88" s="35" t="s">
        <v>235</v>
      </c>
      <c r="G88" s="35" t="s">
        <v>217</v>
      </c>
      <c r="H88" s="35" t="s">
        <v>209</v>
      </c>
      <c r="I88" s="35" t="s">
        <v>200</v>
      </c>
      <c r="J88" s="35" t="n">
        <v>6</v>
      </c>
      <c r="K88" s="65" t="n">
        <v>349.06</v>
      </c>
      <c r="L88" s="65" t="n">
        <v>2094.36</v>
      </c>
      <c r="M88" s="66" t="n">
        <f aca="false">DATE(YEAR(B88),MONTH(B88),1)</f>
        <v>45992</v>
      </c>
      <c r="N88" s="35" t="str">
        <f aca="false">IF(G88="","Unknown",G88)</f>
        <v>Kolkata</v>
      </c>
      <c r="O88" s="35" t="str">
        <f aca="false">IF(E88="","Unknown",IF(E88&lt;=25,"18-25",IF(E88&lt;=35,"26-35",IF(E88&lt;=45,"36-45",IF(E88&lt;=55,"46-55","56-65")))))</f>
        <v>56-65</v>
      </c>
      <c r="P88" s="35" t="n">
        <f aca="false">COUNTIF($C$2:$C$1001,C88)</f>
        <v>1</v>
      </c>
      <c r="Q88" s="35" t="n">
        <f aca="false">IF(COUNTIF($C$2:C88,C88)=1,1,0)</f>
        <v>1</v>
      </c>
    </row>
    <row r="89" customFormat="false" ht="15" hidden="false" customHeight="false" outlineLevel="0" collapsed="false">
      <c r="A89" s="35" t="s">
        <v>504</v>
      </c>
      <c r="B89" s="64" t="n">
        <v>45763</v>
      </c>
      <c r="C89" s="35" t="s">
        <v>505</v>
      </c>
      <c r="D89" s="35" t="s">
        <v>506</v>
      </c>
      <c r="E89" s="35" t="n">
        <v>44</v>
      </c>
      <c r="F89" s="35" t="s">
        <v>235</v>
      </c>
      <c r="G89" s="35" t="s">
        <v>221</v>
      </c>
      <c r="H89" s="35" t="s">
        <v>208</v>
      </c>
      <c r="I89" s="35" t="s">
        <v>200</v>
      </c>
      <c r="J89" s="35" t="n">
        <v>8</v>
      </c>
      <c r="K89" s="65" t="n">
        <v>20498.74</v>
      </c>
      <c r="L89" s="65" t="n">
        <v>163989.92</v>
      </c>
      <c r="M89" s="66" t="n">
        <f aca="false">DATE(YEAR(B89),MONTH(B89),1)</f>
        <v>45748</v>
      </c>
      <c r="N89" s="35" t="str">
        <f aca="false">IF(G89="","Unknown",G89)</f>
        <v>Delhi</v>
      </c>
      <c r="O89" s="35" t="str">
        <f aca="false">IF(E89="","Unknown",IF(E89&lt;=25,"18-25",IF(E89&lt;=35,"26-35",IF(E89&lt;=45,"36-45",IF(E89&lt;=55,"46-55","56-65")))))</f>
        <v>36-45</v>
      </c>
      <c r="P89" s="35" t="n">
        <f aca="false">COUNTIF($C$2:$C$1001,C89)</f>
        <v>2</v>
      </c>
      <c r="Q89" s="35" t="n">
        <f aca="false">IF(COUNTIF($C$2:C89,C89)=1,1,0)</f>
        <v>1</v>
      </c>
    </row>
    <row r="90" customFormat="false" ht="15" hidden="false" customHeight="false" outlineLevel="0" collapsed="false">
      <c r="A90" s="35" t="s">
        <v>507</v>
      </c>
      <c r="B90" s="64" t="n">
        <v>45959</v>
      </c>
      <c r="C90" s="35" t="s">
        <v>508</v>
      </c>
      <c r="D90" s="35" t="s">
        <v>509</v>
      </c>
      <c r="E90" s="35" t="n">
        <v>21</v>
      </c>
      <c r="F90" s="35" t="s">
        <v>235</v>
      </c>
      <c r="G90" s="35" t="s">
        <v>220</v>
      </c>
      <c r="H90" s="35" t="s">
        <v>210</v>
      </c>
      <c r="I90" s="35" t="s">
        <v>201</v>
      </c>
      <c r="J90" s="35" t="n">
        <v>9</v>
      </c>
      <c r="K90" s="65" t="n">
        <v>13111.39</v>
      </c>
      <c r="L90" s="65" t="n">
        <v>118002.51</v>
      </c>
      <c r="M90" s="66" t="n">
        <f aca="false">DATE(YEAR(B90),MONTH(B90),1)</f>
        <v>45931</v>
      </c>
      <c r="N90" s="35" t="str">
        <f aca="false">IF(G90="","Unknown",G90)</f>
        <v>Hyderabad</v>
      </c>
      <c r="O90" s="35" t="str">
        <f aca="false">IF(E90="","Unknown",IF(E90&lt;=25,"18-25",IF(E90&lt;=35,"26-35",IF(E90&lt;=45,"36-45",IF(E90&lt;=55,"46-55","56-65")))))</f>
        <v>18-25</v>
      </c>
      <c r="P90" s="35" t="n">
        <f aca="false">COUNTIF($C$2:$C$1001,C90)</f>
        <v>1</v>
      </c>
      <c r="Q90" s="35" t="n">
        <f aca="false">IF(COUNTIF($C$2:C90,C90)=1,1,0)</f>
        <v>1</v>
      </c>
    </row>
    <row r="91" customFormat="false" ht="15" hidden="false" customHeight="false" outlineLevel="0" collapsed="false">
      <c r="A91" s="35" t="s">
        <v>510</v>
      </c>
      <c r="B91" s="64" t="n">
        <v>46006</v>
      </c>
      <c r="C91" s="35" t="s">
        <v>511</v>
      </c>
      <c r="D91" s="35" t="s">
        <v>509</v>
      </c>
      <c r="E91" s="35" t="n">
        <v>34</v>
      </c>
      <c r="F91" s="35" t="s">
        <v>234</v>
      </c>
      <c r="G91" s="35" t="s">
        <v>219</v>
      </c>
      <c r="H91" s="35" t="s">
        <v>211</v>
      </c>
      <c r="I91" s="35" t="s">
        <v>202</v>
      </c>
      <c r="J91" s="35" t="n">
        <v>9</v>
      </c>
      <c r="K91" s="65" t="n">
        <v>45000.49</v>
      </c>
      <c r="L91" s="65" t="n">
        <v>405004.41</v>
      </c>
      <c r="M91" s="66" t="n">
        <f aca="false">DATE(YEAR(B91),MONTH(B91),1)</f>
        <v>45992</v>
      </c>
      <c r="N91" s="35" t="str">
        <f aca="false">IF(G91="","Unknown",G91)</f>
        <v>Mumbai</v>
      </c>
      <c r="O91" s="35" t="str">
        <f aca="false">IF(E91="","Unknown",IF(E91&lt;=25,"18-25",IF(E91&lt;=35,"26-35",IF(E91&lt;=45,"36-45",IF(E91&lt;=55,"46-55","56-65")))))</f>
        <v>26-35</v>
      </c>
      <c r="P91" s="35" t="n">
        <f aca="false">COUNTIF($C$2:$C$1001,C91)</f>
        <v>1</v>
      </c>
      <c r="Q91" s="35" t="n">
        <f aca="false">IF(COUNTIF($C$2:C91,C91)=1,1,0)</f>
        <v>1</v>
      </c>
    </row>
    <row r="92" customFormat="false" ht="15" hidden="false" customHeight="false" outlineLevel="0" collapsed="false">
      <c r="A92" s="35" t="s">
        <v>512</v>
      </c>
      <c r="B92" s="64" t="n">
        <v>46015</v>
      </c>
      <c r="C92" s="35" t="s">
        <v>513</v>
      </c>
      <c r="D92" s="35" t="s">
        <v>514</v>
      </c>
      <c r="E92" s="35" t="n">
        <v>48</v>
      </c>
      <c r="F92" s="35" t="s">
        <v>234</v>
      </c>
      <c r="G92" s="35" t="s">
        <v>217</v>
      </c>
      <c r="H92" s="35" t="s">
        <v>208</v>
      </c>
      <c r="I92" s="35" t="s">
        <v>200</v>
      </c>
      <c r="J92" s="35" t="n">
        <v>2</v>
      </c>
      <c r="K92" s="65" t="n">
        <v>3455.06</v>
      </c>
      <c r="L92" s="65" t="n">
        <v>6910.12</v>
      </c>
      <c r="M92" s="66" t="n">
        <f aca="false">DATE(YEAR(B92),MONTH(B92),1)</f>
        <v>45992</v>
      </c>
      <c r="N92" s="35" t="str">
        <f aca="false">IF(G92="","Unknown",G92)</f>
        <v>Kolkata</v>
      </c>
      <c r="O92" s="35" t="str">
        <f aca="false">IF(E92="","Unknown",IF(E92&lt;=25,"18-25",IF(E92&lt;=35,"26-35",IF(E92&lt;=45,"36-45",IF(E92&lt;=55,"46-55","56-65")))))</f>
        <v>46-55</v>
      </c>
      <c r="P92" s="35" t="n">
        <f aca="false">COUNTIF($C$2:$C$1001,C92)</f>
        <v>1</v>
      </c>
      <c r="Q92" s="35" t="n">
        <f aca="false">IF(COUNTIF($C$2:C92,C92)=1,1,0)</f>
        <v>1</v>
      </c>
    </row>
    <row r="93" customFormat="false" ht="15" hidden="false" customHeight="false" outlineLevel="0" collapsed="false">
      <c r="A93" s="35" t="s">
        <v>515</v>
      </c>
      <c r="B93" s="64" t="n">
        <v>45775</v>
      </c>
      <c r="C93" s="35" t="s">
        <v>516</v>
      </c>
      <c r="D93" s="35" t="s">
        <v>517</v>
      </c>
      <c r="E93" s="35" t="n">
        <v>19</v>
      </c>
      <c r="F93" s="35" t="s">
        <v>234</v>
      </c>
      <c r="G93" s="35" t="s">
        <v>222</v>
      </c>
      <c r="H93" s="35" t="s">
        <v>213</v>
      </c>
      <c r="I93" s="35" t="s">
        <v>204</v>
      </c>
      <c r="J93" s="35" t="n">
        <v>8</v>
      </c>
      <c r="K93" s="65" t="n">
        <v>28874.64</v>
      </c>
      <c r="L93" s="65" t="n">
        <v>230997.12</v>
      </c>
      <c r="M93" s="66" t="n">
        <f aca="false">DATE(YEAR(B93),MONTH(B93),1)</f>
        <v>45748</v>
      </c>
      <c r="N93" s="35" t="str">
        <f aca="false">IF(G93="","Unknown",G93)</f>
        <v>Pune</v>
      </c>
      <c r="O93" s="35" t="str">
        <f aca="false">IF(E93="","Unknown",IF(E93&lt;=25,"18-25",IF(E93&lt;=35,"26-35",IF(E93&lt;=45,"36-45",IF(E93&lt;=55,"46-55","56-65")))))</f>
        <v>18-25</v>
      </c>
      <c r="P93" s="35" t="n">
        <f aca="false">COUNTIF($C$2:$C$1001,C93)</f>
        <v>1</v>
      </c>
      <c r="Q93" s="35" t="n">
        <f aca="false">IF(COUNTIF($C$2:C93,C93)=1,1,0)</f>
        <v>1</v>
      </c>
    </row>
    <row r="94" customFormat="false" ht="15" hidden="false" customHeight="false" outlineLevel="0" collapsed="false">
      <c r="A94" s="35" t="s">
        <v>518</v>
      </c>
      <c r="B94" s="64" t="n">
        <v>45968</v>
      </c>
      <c r="C94" s="35" t="s">
        <v>519</v>
      </c>
      <c r="D94" s="35" t="s">
        <v>520</v>
      </c>
      <c r="E94" s="35" t="n">
        <v>32</v>
      </c>
      <c r="F94" s="35" t="s">
        <v>234</v>
      </c>
      <c r="G94" s="35" t="s">
        <v>221</v>
      </c>
      <c r="H94" s="35" t="s">
        <v>213</v>
      </c>
      <c r="I94" s="35" t="s">
        <v>204</v>
      </c>
      <c r="J94" s="35" t="n">
        <v>3</v>
      </c>
      <c r="K94" s="65" t="n">
        <v>47917.49</v>
      </c>
      <c r="L94" s="65" t="n">
        <v>143752.47</v>
      </c>
      <c r="M94" s="66" t="n">
        <f aca="false">DATE(YEAR(B94),MONTH(B94),1)</f>
        <v>45962</v>
      </c>
      <c r="N94" s="35" t="str">
        <f aca="false">IF(G94="","Unknown",G94)</f>
        <v>Delhi</v>
      </c>
      <c r="O94" s="35" t="str">
        <f aca="false">IF(E94="","Unknown",IF(E94&lt;=25,"18-25",IF(E94&lt;=35,"26-35",IF(E94&lt;=45,"36-45",IF(E94&lt;=55,"46-55","56-65")))))</f>
        <v>26-35</v>
      </c>
      <c r="P94" s="35" t="n">
        <f aca="false">COUNTIF($C$2:$C$1001,C94)</f>
        <v>1</v>
      </c>
      <c r="Q94" s="35" t="n">
        <f aca="false">IF(COUNTIF($C$2:C94,C94)=1,1,0)</f>
        <v>1</v>
      </c>
    </row>
    <row r="95" customFormat="false" ht="15" hidden="false" customHeight="false" outlineLevel="0" collapsed="false">
      <c r="A95" s="35" t="s">
        <v>521</v>
      </c>
      <c r="B95" s="64" t="n">
        <v>45707</v>
      </c>
      <c r="C95" s="35" t="s">
        <v>522</v>
      </c>
      <c r="D95" s="35" t="s">
        <v>523</v>
      </c>
      <c r="E95" s="35" t="n">
        <v>47</v>
      </c>
      <c r="F95" s="35" t="s">
        <v>234</v>
      </c>
      <c r="G95" s="35" t="s">
        <v>218</v>
      </c>
      <c r="H95" s="35" t="s">
        <v>211</v>
      </c>
      <c r="I95" s="35" t="s">
        <v>202</v>
      </c>
      <c r="J95" s="35" t="n">
        <v>10</v>
      </c>
      <c r="K95" s="65" t="n">
        <v>21399.51</v>
      </c>
      <c r="L95" s="65" t="n">
        <v>213995.1</v>
      </c>
      <c r="M95" s="66" t="n">
        <f aca="false">DATE(YEAR(B95),MONTH(B95),1)</f>
        <v>45689</v>
      </c>
      <c r="N95" s="35" t="str">
        <f aca="false">IF(G95="","Unknown",G95)</f>
        <v>Bengaluru</v>
      </c>
      <c r="O95" s="35" t="str">
        <f aca="false">IF(E95="","Unknown",IF(E95&lt;=25,"18-25",IF(E95&lt;=35,"26-35",IF(E95&lt;=45,"36-45",IF(E95&lt;=55,"46-55","56-65")))))</f>
        <v>46-55</v>
      </c>
      <c r="P95" s="35" t="n">
        <f aca="false">COUNTIF($C$2:$C$1001,C95)</f>
        <v>1</v>
      </c>
      <c r="Q95" s="35" t="n">
        <f aca="false">IF(COUNTIF($C$2:C95,C95)=1,1,0)</f>
        <v>1</v>
      </c>
    </row>
    <row r="96" customFormat="false" ht="15" hidden="false" customHeight="false" outlineLevel="0" collapsed="false">
      <c r="A96" s="35" t="s">
        <v>524</v>
      </c>
      <c r="B96" s="64" t="n">
        <v>45808</v>
      </c>
      <c r="C96" s="35" t="s">
        <v>525</v>
      </c>
      <c r="D96" s="35" t="s">
        <v>526</v>
      </c>
      <c r="E96" s="35" t="n">
        <v>38</v>
      </c>
      <c r="F96" s="35" t="s">
        <v>234</v>
      </c>
      <c r="G96" s="35" t="s">
        <v>220</v>
      </c>
      <c r="H96" s="35" t="s">
        <v>211</v>
      </c>
      <c r="I96" s="35" t="s">
        <v>202</v>
      </c>
      <c r="J96" s="35" t="n">
        <v>5</v>
      </c>
      <c r="K96" s="65" t="n">
        <v>15127.88</v>
      </c>
      <c r="L96" s="65" t="n">
        <v>75639.4</v>
      </c>
      <c r="M96" s="66" t="n">
        <f aca="false">DATE(YEAR(B96),MONTH(B96),1)</f>
        <v>45778</v>
      </c>
      <c r="N96" s="35" t="str">
        <f aca="false">IF(G96="","Unknown",G96)</f>
        <v>Hyderabad</v>
      </c>
      <c r="O96" s="35" t="str">
        <f aca="false">IF(E96="","Unknown",IF(E96&lt;=25,"18-25",IF(E96&lt;=35,"26-35",IF(E96&lt;=45,"36-45",IF(E96&lt;=55,"46-55","56-65")))))</f>
        <v>36-45</v>
      </c>
      <c r="P96" s="35" t="n">
        <f aca="false">COUNTIF($C$2:$C$1001,C96)</f>
        <v>1</v>
      </c>
      <c r="Q96" s="35" t="n">
        <f aca="false">IF(COUNTIF($C$2:C96,C96)=1,1,0)</f>
        <v>1</v>
      </c>
    </row>
    <row r="97" customFormat="false" ht="15" hidden="false" customHeight="false" outlineLevel="0" collapsed="false">
      <c r="A97" s="35" t="s">
        <v>527</v>
      </c>
      <c r="B97" s="64" t="n">
        <v>45973</v>
      </c>
      <c r="C97" s="35" t="s">
        <v>528</v>
      </c>
      <c r="D97" s="35" t="s">
        <v>529</v>
      </c>
      <c r="E97" s="35" t="n">
        <v>62</v>
      </c>
      <c r="F97" s="35" t="s">
        <v>235</v>
      </c>
      <c r="G97" s="35" t="s">
        <v>219</v>
      </c>
      <c r="H97" s="35" t="s">
        <v>213</v>
      </c>
      <c r="I97" s="35" t="s">
        <v>204</v>
      </c>
      <c r="J97" s="35" t="n">
        <v>7</v>
      </c>
      <c r="K97" s="65" t="n">
        <v>41677.34</v>
      </c>
      <c r="L97" s="65" t="n">
        <v>291741.38</v>
      </c>
      <c r="M97" s="66" t="n">
        <f aca="false">DATE(YEAR(B97),MONTH(B97),1)</f>
        <v>45962</v>
      </c>
      <c r="N97" s="35" t="str">
        <f aca="false">IF(G97="","Unknown",G97)</f>
        <v>Mumbai</v>
      </c>
      <c r="O97" s="35" t="str">
        <f aca="false">IF(E97="","Unknown",IF(E97&lt;=25,"18-25",IF(E97&lt;=35,"26-35",IF(E97&lt;=45,"36-45",IF(E97&lt;=55,"46-55","56-65")))))</f>
        <v>56-65</v>
      </c>
      <c r="P97" s="35" t="n">
        <f aca="false">COUNTIF($C$2:$C$1001,C97)</f>
        <v>1</v>
      </c>
      <c r="Q97" s="35" t="n">
        <f aca="false">IF(COUNTIF($C$2:C97,C97)=1,1,0)</f>
        <v>1</v>
      </c>
    </row>
    <row r="98" customFormat="false" ht="15" hidden="false" customHeight="false" outlineLevel="0" collapsed="false">
      <c r="A98" s="35" t="s">
        <v>530</v>
      </c>
      <c r="B98" s="64" t="n">
        <v>45679</v>
      </c>
      <c r="C98" s="35" t="s">
        <v>531</v>
      </c>
      <c r="D98" s="35" t="s">
        <v>532</v>
      </c>
      <c r="E98" s="35" t="n">
        <v>32</v>
      </c>
      <c r="F98" s="35" t="s">
        <v>234</v>
      </c>
      <c r="G98" s="35" t="s">
        <v>220</v>
      </c>
      <c r="H98" s="35" t="s">
        <v>209</v>
      </c>
      <c r="I98" s="35" t="s">
        <v>200</v>
      </c>
      <c r="J98" s="35" t="n">
        <v>10</v>
      </c>
      <c r="K98" s="65" t="n">
        <v>40745.55</v>
      </c>
      <c r="L98" s="65" t="n">
        <v>407455.5</v>
      </c>
      <c r="M98" s="66" t="n">
        <f aca="false">DATE(YEAR(B98),MONTH(B98),1)</f>
        <v>45658</v>
      </c>
      <c r="N98" s="35" t="str">
        <f aca="false">IF(G98="","Unknown",G98)</f>
        <v>Hyderabad</v>
      </c>
      <c r="O98" s="35" t="str">
        <f aca="false">IF(E98="","Unknown",IF(E98&lt;=25,"18-25",IF(E98&lt;=35,"26-35",IF(E98&lt;=45,"36-45",IF(E98&lt;=55,"46-55","56-65")))))</f>
        <v>26-35</v>
      </c>
      <c r="P98" s="35" t="n">
        <f aca="false">COUNTIF($C$2:$C$1001,C98)</f>
        <v>1</v>
      </c>
      <c r="Q98" s="35" t="n">
        <f aca="false">IF(COUNTIF($C$2:C98,C98)=1,1,0)</f>
        <v>1</v>
      </c>
    </row>
    <row r="99" customFormat="false" ht="15" hidden="false" customHeight="false" outlineLevel="0" collapsed="false">
      <c r="A99" s="35" t="s">
        <v>533</v>
      </c>
      <c r="B99" s="64" t="n">
        <v>45701</v>
      </c>
      <c r="C99" s="35" t="s">
        <v>534</v>
      </c>
      <c r="D99" s="35" t="s">
        <v>535</v>
      </c>
      <c r="E99" s="35" t="n">
        <v>54</v>
      </c>
      <c r="F99" s="35" t="s">
        <v>234</v>
      </c>
      <c r="G99" s="35" t="s">
        <v>223</v>
      </c>
      <c r="H99" s="35" t="s">
        <v>209</v>
      </c>
      <c r="I99" s="35" t="s">
        <v>200</v>
      </c>
      <c r="J99" s="35" t="n">
        <v>2</v>
      </c>
      <c r="K99" s="65" t="n">
        <v>31217.12</v>
      </c>
      <c r="L99" s="65" t="n">
        <v>62434.24</v>
      </c>
      <c r="M99" s="66" t="n">
        <f aca="false">DATE(YEAR(B99),MONTH(B99),1)</f>
        <v>45689</v>
      </c>
      <c r="N99" s="35" t="str">
        <f aca="false">IF(G99="","Unknown",G99)</f>
        <v>Gaya</v>
      </c>
      <c r="O99" s="35" t="str">
        <f aca="false">IF(E99="","Unknown",IF(E99&lt;=25,"18-25",IF(E99&lt;=35,"26-35",IF(E99&lt;=45,"36-45",IF(E99&lt;=55,"46-55","56-65")))))</f>
        <v>46-55</v>
      </c>
      <c r="P99" s="35" t="n">
        <f aca="false">COUNTIF($C$2:$C$1001,C99)</f>
        <v>1</v>
      </c>
      <c r="Q99" s="35" t="n">
        <f aca="false">IF(COUNTIF($C$2:C99,C99)=1,1,0)</f>
        <v>1</v>
      </c>
    </row>
    <row r="100" customFormat="false" ht="15" hidden="false" customHeight="false" outlineLevel="0" collapsed="false">
      <c r="A100" s="35" t="s">
        <v>536</v>
      </c>
      <c r="B100" s="64" t="n">
        <v>45963</v>
      </c>
      <c r="C100" s="35" t="s">
        <v>537</v>
      </c>
      <c r="D100" s="35" t="s">
        <v>538</v>
      </c>
      <c r="E100" s="35"/>
      <c r="F100" s="35" t="s">
        <v>234</v>
      </c>
      <c r="G100" s="35" t="s">
        <v>216</v>
      </c>
      <c r="H100" s="35" t="s">
        <v>208</v>
      </c>
      <c r="I100" s="35" t="s">
        <v>200</v>
      </c>
      <c r="J100" s="35" t="n">
        <v>5</v>
      </c>
      <c r="K100" s="65" t="n">
        <v>553.62</v>
      </c>
      <c r="L100" s="65" t="n">
        <v>2768.1</v>
      </c>
      <c r="M100" s="66" t="n">
        <f aca="false">DATE(YEAR(B100),MONTH(B100),1)</f>
        <v>45962</v>
      </c>
      <c r="N100" s="35" t="str">
        <f aca="false">IF(G100="","Unknown",G100)</f>
        <v>Patna</v>
      </c>
      <c r="O100" s="35" t="str">
        <f aca="false">IF(E100="","Unknown",IF(E100&lt;=25,"18-25",IF(E100&lt;=35,"26-35",IF(E100&lt;=45,"36-45",IF(E100&lt;=55,"46-55","56-65")))))</f>
        <v>Unknown</v>
      </c>
      <c r="P100" s="35" t="n">
        <f aca="false">COUNTIF($C$2:$C$1001,C100)</f>
        <v>1</v>
      </c>
      <c r="Q100" s="35" t="n">
        <f aca="false">IF(COUNTIF($C$2:C100,C100)=1,1,0)</f>
        <v>1</v>
      </c>
    </row>
    <row r="101" customFormat="false" ht="15" hidden="false" customHeight="false" outlineLevel="0" collapsed="false">
      <c r="A101" s="35" t="s">
        <v>539</v>
      </c>
      <c r="B101" s="64" t="n">
        <v>45935</v>
      </c>
      <c r="C101" s="35" t="s">
        <v>540</v>
      </c>
      <c r="D101" s="35" t="s">
        <v>302</v>
      </c>
      <c r="E101" s="35" t="n">
        <v>47</v>
      </c>
      <c r="F101" s="35" t="s">
        <v>234</v>
      </c>
      <c r="G101" s="35" t="s">
        <v>222</v>
      </c>
      <c r="H101" s="35" t="s">
        <v>211</v>
      </c>
      <c r="I101" s="35" t="s">
        <v>202</v>
      </c>
      <c r="J101" s="35" t="n">
        <v>4</v>
      </c>
      <c r="K101" s="65" t="n">
        <v>6974.66</v>
      </c>
      <c r="L101" s="65" t="n">
        <v>27898.64</v>
      </c>
      <c r="M101" s="66" t="n">
        <f aca="false">DATE(YEAR(B101),MONTH(B101),1)</f>
        <v>45931</v>
      </c>
      <c r="N101" s="35" t="str">
        <f aca="false">IF(G101="","Unknown",G101)</f>
        <v>Pune</v>
      </c>
      <c r="O101" s="35" t="str">
        <f aca="false">IF(E101="","Unknown",IF(E101&lt;=25,"18-25",IF(E101&lt;=35,"26-35",IF(E101&lt;=45,"36-45",IF(E101&lt;=55,"46-55","56-65")))))</f>
        <v>46-55</v>
      </c>
      <c r="P101" s="35" t="n">
        <f aca="false">COUNTIF($C$2:$C$1001,C101)</f>
        <v>1</v>
      </c>
      <c r="Q101" s="35" t="n">
        <f aca="false">IF(COUNTIF($C$2:C101,C101)=1,1,0)</f>
        <v>1</v>
      </c>
    </row>
    <row r="102" customFormat="false" ht="15" hidden="false" customHeight="false" outlineLevel="0" collapsed="false">
      <c r="A102" s="35" t="s">
        <v>541</v>
      </c>
      <c r="B102" s="64" t="n">
        <v>46010</v>
      </c>
      <c r="C102" s="35" t="s">
        <v>542</v>
      </c>
      <c r="D102" s="35" t="s">
        <v>543</v>
      </c>
      <c r="E102" s="35" t="n">
        <v>20</v>
      </c>
      <c r="F102" s="35" t="s">
        <v>235</v>
      </c>
      <c r="G102" s="35" t="s">
        <v>217</v>
      </c>
      <c r="H102" s="35" t="s">
        <v>210</v>
      </c>
      <c r="I102" s="35" t="s">
        <v>201</v>
      </c>
      <c r="J102" s="35" t="n">
        <v>9</v>
      </c>
      <c r="K102" s="65" t="n">
        <v>19437.88</v>
      </c>
      <c r="L102" s="65" t="n">
        <v>174940.92</v>
      </c>
      <c r="M102" s="66" t="n">
        <f aca="false">DATE(YEAR(B102),MONTH(B102),1)</f>
        <v>45992</v>
      </c>
      <c r="N102" s="35" t="str">
        <f aca="false">IF(G102="","Unknown",G102)</f>
        <v>Kolkata</v>
      </c>
      <c r="O102" s="35" t="str">
        <f aca="false">IF(E102="","Unknown",IF(E102&lt;=25,"18-25",IF(E102&lt;=35,"26-35",IF(E102&lt;=45,"36-45",IF(E102&lt;=55,"46-55","56-65")))))</f>
        <v>18-25</v>
      </c>
      <c r="P102" s="35" t="n">
        <f aca="false">COUNTIF($C$2:$C$1001,C102)</f>
        <v>1</v>
      </c>
      <c r="Q102" s="35" t="n">
        <f aca="false">IF(COUNTIF($C$2:C102,C102)=1,1,0)</f>
        <v>1</v>
      </c>
    </row>
    <row r="103" customFormat="false" ht="15" hidden="false" customHeight="false" outlineLevel="0" collapsed="false">
      <c r="A103" s="35" t="s">
        <v>544</v>
      </c>
      <c r="B103" s="64" t="n">
        <v>45671</v>
      </c>
      <c r="C103" s="35" t="s">
        <v>545</v>
      </c>
      <c r="D103" s="35" t="s">
        <v>546</v>
      </c>
      <c r="E103" s="35" t="n">
        <v>43</v>
      </c>
      <c r="F103" s="35" t="s">
        <v>235</v>
      </c>
      <c r="G103" s="35" t="s">
        <v>219</v>
      </c>
      <c r="H103" s="35" t="s">
        <v>208</v>
      </c>
      <c r="I103" s="35" t="s">
        <v>200</v>
      </c>
      <c r="J103" s="35" t="n">
        <v>9</v>
      </c>
      <c r="K103" s="65" t="n">
        <v>13617.93</v>
      </c>
      <c r="L103" s="65" t="n">
        <v>122561.37</v>
      </c>
      <c r="M103" s="66" t="n">
        <f aca="false">DATE(YEAR(B103),MONTH(B103),1)</f>
        <v>45658</v>
      </c>
      <c r="N103" s="35" t="str">
        <f aca="false">IF(G103="","Unknown",G103)</f>
        <v>Mumbai</v>
      </c>
      <c r="O103" s="35" t="str">
        <f aca="false">IF(E103="","Unknown",IF(E103&lt;=25,"18-25",IF(E103&lt;=35,"26-35",IF(E103&lt;=45,"36-45",IF(E103&lt;=55,"46-55","56-65")))))</f>
        <v>36-45</v>
      </c>
      <c r="P103" s="35" t="n">
        <f aca="false">COUNTIF($C$2:$C$1001,C103)</f>
        <v>1</v>
      </c>
      <c r="Q103" s="35" t="n">
        <f aca="false">IF(COUNTIF($C$2:C103,C103)=1,1,0)</f>
        <v>1</v>
      </c>
    </row>
    <row r="104" customFormat="false" ht="15" hidden="false" customHeight="false" outlineLevel="0" collapsed="false">
      <c r="A104" s="35" t="s">
        <v>547</v>
      </c>
      <c r="B104" s="64" t="n">
        <v>46003</v>
      </c>
      <c r="C104" s="35" t="s">
        <v>548</v>
      </c>
      <c r="D104" s="35" t="s">
        <v>549</v>
      </c>
      <c r="E104" s="35" t="n">
        <v>54</v>
      </c>
      <c r="F104" s="35" t="s">
        <v>234</v>
      </c>
      <c r="G104" s="35" t="s">
        <v>223</v>
      </c>
      <c r="H104" s="35" t="s">
        <v>212</v>
      </c>
      <c r="I104" s="35" t="s">
        <v>203</v>
      </c>
      <c r="J104" s="35" t="n">
        <v>8</v>
      </c>
      <c r="K104" s="65" t="n">
        <v>38897.58</v>
      </c>
      <c r="L104" s="65" t="n">
        <v>311180.64</v>
      </c>
      <c r="M104" s="66" t="n">
        <f aca="false">DATE(YEAR(B104),MONTH(B104),1)</f>
        <v>45992</v>
      </c>
      <c r="N104" s="35" t="str">
        <f aca="false">IF(G104="","Unknown",G104)</f>
        <v>Gaya</v>
      </c>
      <c r="O104" s="35" t="str">
        <f aca="false">IF(E104="","Unknown",IF(E104&lt;=25,"18-25",IF(E104&lt;=35,"26-35",IF(E104&lt;=45,"36-45",IF(E104&lt;=55,"46-55","56-65")))))</f>
        <v>46-55</v>
      </c>
      <c r="P104" s="35" t="n">
        <f aca="false">COUNTIF($C$2:$C$1001,C104)</f>
        <v>1</v>
      </c>
      <c r="Q104" s="35" t="n">
        <f aca="false">IF(COUNTIF($C$2:C104,C104)=1,1,0)</f>
        <v>1</v>
      </c>
    </row>
    <row r="105" customFormat="false" ht="15" hidden="false" customHeight="false" outlineLevel="0" collapsed="false">
      <c r="A105" s="35" t="s">
        <v>550</v>
      </c>
      <c r="B105" s="64" t="n">
        <v>45984</v>
      </c>
      <c r="C105" s="35" t="s">
        <v>551</v>
      </c>
      <c r="D105" s="35" t="s">
        <v>447</v>
      </c>
      <c r="E105" s="35" t="n">
        <v>44</v>
      </c>
      <c r="F105" s="35" t="s">
        <v>235</v>
      </c>
      <c r="G105" s="35" t="s">
        <v>223</v>
      </c>
      <c r="H105" s="35" t="s">
        <v>210</v>
      </c>
      <c r="I105" s="35" t="s">
        <v>201</v>
      </c>
      <c r="J105" s="35" t="n">
        <v>6</v>
      </c>
      <c r="K105" s="65" t="n">
        <v>8547.07</v>
      </c>
      <c r="L105" s="65" t="n">
        <v>51282.42</v>
      </c>
      <c r="M105" s="66" t="n">
        <f aca="false">DATE(YEAR(B105),MONTH(B105),1)</f>
        <v>45962</v>
      </c>
      <c r="N105" s="35" t="str">
        <f aca="false">IF(G105="","Unknown",G105)</f>
        <v>Gaya</v>
      </c>
      <c r="O105" s="35" t="str">
        <f aca="false">IF(E105="","Unknown",IF(E105&lt;=25,"18-25",IF(E105&lt;=35,"26-35",IF(E105&lt;=45,"36-45",IF(E105&lt;=55,"46-55","56-65")))))</f>
        <v>36-45</v>
      </c>
      <c r="P105" s="35" t="n">
        <f aca="false">COUNTIF($C$2:$C$1001,C105)</f>
        <v>1</v>
      </c>
      <c r="Q105" s="35" t="n">
        <f aca="false">IF(COUNTIF($C$2:C105,C105)=1,1,0)</f>
        <v>1</v>
      </c>
    </row>
    <row r="106" customFormat="false" ht="15" hidden="false" customHeight="false" outlineLevel="0" collapsed="false">
      <c r="A106" s="35" t="s">
        <v>552</v>
      </c>
      <c r="B106" s="64" t="n">
        <v>45956</v>
      </c>
      <c r="C106" s="35" t="s">
        <v>553</v>
      </c>
      <c r="D106" s="35" t="s">
        <v>554</v>
      </c>
      <c r="E106" s="35" t="n">
        <v>44</v>
      </c>
      <c r="F106" s="35" t="s">
        <v>234</v>
      </c>
      <c r="G106" s="35" t="s">
        <v>219</v>
      </c>
      <c r="H106" s="35" t="s">
        <v>212</v>
      </c>
      <c r="I106" s="35" t="s">
        <v>203</v>
      </c>
      <c r="J106" s="35" t="n">
        <v>7</v>
      </c>
      <c r="K106" s="65" t="n">
        <v>46263.01</v>
      </c>
      <c r="L106" s="65" t="n">
        <v>323841.07</v>
      </c>
      <c r="M106" s="66" t="n">
        <f aca="false">DATE(YEAR(B106),MONTH(B106),1)</f>
        <v>45931</v>
      </c>
      <c r="N106" s="35" t="str">
        <f aca="false">IF(G106="","Unknown",G106)</f>
        <v>Mumbai</v>
      </c>
      <c r="O106" s="35" t="str">
        <f aca="false">IF(E106="","Unknown",IF(E106&lt;=25,"18-25",IF(E106&lt;=35,"26-35",IF(E106&lt;=45,"36-45",IF(E106&lt;=55,"46-55","56-65")))))</f>
        <v>36-45</v>
      </c>
      <c r="P106" s="35" t="n">
        <f aca="false">COUNTIF($C$2:$C$1001,C106)</f>
        <v>1</v>
      </c>
      <c r="Q106" s="35" t="n">
        <f aca="false">IF(COUNTIF($C$2:C106,C106)=1,1,0)</f>
        <v>1</v>
      </c>
    </row>
    <row r="107" customFormat="false" ht="15" hidden="false" customHeight="false" outlineLevel="0" collapsed="false">
      <c r="A107" s="35" t="s">
        <v>555</v>
      </c>
      <c r="B107" s="64" t="n">
        <v>45878</v>
      </c>
      <c r="C107" s="35" t="s">
        <v>556</v>
      </c>
      <c r="D107" s="35" t="s">
        <v>557</v>
      </c>
      <c r="E107" s="35" t="n">
        <v>32</v>
      </c>
      <c r="F107" s="35" t="s">
        <v>234</v>
      </c>
      <c r="G107" s="35" t="s">
        <v>216</v>
      </c>
      <c r="H107" s="35" t="s">
        <v>210</v>
      </c>
      <c r="I107" s="35" t="s">
        <v>201</v>
      </c>
      <c r="J107" s="35" t="n">
        <v>2</v>
      </c>
      <c r="K107" s="65" t="n">
        <v>2814.55</v>
      </c>
      <c r="L107" s="65" t="n">
        <v>5629.1</v>
      </c>
      <c r="M107" s="66" t="n">
        <f aca="false">DATE(YEAR(B107),MONTH(B107),1)</f>
        <v>45870</v>
      </c>
      <c r="N107" s="35" t="str">
        <f aca="false">IF(G107="","Unknown",G107)</f>
        <v>Patna</v>
      </c>
      <c r="O107" s="35" t="str">
        <f aca="false">IF(E107="","Unknown",IF(E107&lt;=25,"18-25",IF(E107&lt;=35,"26-35",IF(E107&lt;=45,"36-45",IF(E107&lt;=55,"46-55","56-65")))))</f>
        <v>26-35</v>
      </c>
      <c r="P107" s="35" t="n">
        <f aca="false">COUNTIF($C$2:$C$1001,C107)</f>
        <v>1</v>
      </c>
      <c r="Q107" s="35" t="n">
        <f aca="false">IF(COUNTIF($C$2:C107,C107)=1,1,0)</f>
        <v>1</v>
      </c>
    </row>
    <row r="108" customFormat="false" ht="15" hidden="false" customHeight="false" outlineLevel="0" collapsed="false">
      <c r="A108" s="35" t="s">
        <v>558</v>
      </c>
      <c r="B108" s="64" t="n">
        <v>45736</v>
      </c>
      <c r="C108" s="35" t="s">
        <v>559</v>
      </c>
      <c r="D108" s="35" t="s">
        <v>560</v>
      </c>
      <c r="E108" s="35" t="n">
        <v>33</v>
      </c>
      <c r="F108" s="35" t="s">
        <v>234</v>
      </c>
      <c r="G108" s="35" t="s">
        <v>222</v>
      </c>
      <c r="H108" s="35" t="s">
        <v>209</v>
      </c>
      <c r="I108" s="35" t="s">
        <v>200</v>
      </c>
      <c r="J108" s="35" t="n">
        <v>8</v>
      </c>
      <c r="K108" s="65" t="n">
        <v>41112.05</v>
      </c>
      <c r="L108" s="65" t="n">
        <v>328896.4</v>
      </c>
      <c r="M108" s="66" t="n">
        <f aca="false">DATE(YEAR(B108),MONTH(B108),1)</f>
        <v>45717</v>
      </c>
      <c r="N108" s="35" t="str">
        <f aca="false">IF(G108="","Unknown",G108)</f>
        <v>Pune</v>
      </c>
      <c r="O108" s="35" t="str">
        <f aca="false">IF(E108="","Unknown",IF(E108&lt;=25,"18-25",IF(E108&lt;=35,"26-35",IF(E108&lt;=45,"36-45",IF(E108&lt;=55,"46-55","56-65")))))</f>
        <v>26-35</v>
      </c>
      <c r="P108" s="35" t="n">
        <f aca="false">COUNTIF($C$2:$C$1001,C108)</f>
        <v>1</v>
      </c>
      <c r="Q108" s="35" t="n">
        <f aca="false">IF(COUNTIF($C$2:C108,C108)=1,1,0)</f>
        <v>1</v>
      </c>
    </row>
    <row r="109" customFormat="false" ht="15" hidden="false" customHeight="false" outlineLevel="0" collapsed="false">
      <c r="A109" s="35" t="s">
        <v>561</v>
      </c>
      <c r="B109" s="64" t="n">
        <v>45918</v>
      </c>
      <c r="C109" s="35" t="s">
        <v>562</v>
      </c>
      <c r="D109" s="35" t="s">
        <v>563</v>
      </c>
      <c r="E109" s="35" t="n">
        <v>29</v>
      </c>
      <c r="F109" s="35" t="s">
        <v>234</v>
      </c>
      <c r="G109" s="35" t="s">
        <v>216</v>
      </c>
      <c r="H109" s="35" t="s">
        <v>210</v>
      </c>
      <c r="I109" s="35" t="s">
        <v>201</v>
      </c>
      <c r="J109" s="35" t="n">
        <v>4</v>
      </c>
      <c r="K109" s="65" t="n">
        <v>36826.88</v>
      </c>
      <c r="L109" s="65" t="n">
        <v>147307.52</v>
      </c>
      <c r="M109" s="66" t="n">
        <f aca="false">DATE(YEAR(B109),MONTH(B109),1)</f>
        <v>45901</v>
      </c>
      <c r="N109" s="35" t="str">
        <f aca="false">IF(G109="","Unknown",G109)</f>
        <v>Patna</v>
      </c>
      <c r="O109" s="35" t="str">
        <f aca="false">IF(E109="","Unknown",IF(E109&lt;=25,"18-25",IF(E109&lt;=35,"26-35",IF(E109&lt;=45,"36-45",IF(E109&lt;=55,"46-55","56-65")))))</f>
        <v>26-35</v>
      </c>
      <c r="P109" s="35" t="n">
        <f aca="false">COUNTIF($C$2:$C$1001,C109)</f>
        <v>1</v>
      </c>
      <c r="Q109" s="35" t="n">
        <f aca="false">IF(COUNTIF($C$2:C109,C109)=1,1,0)</f>
        <v>1</v>
      </c>
    </row>
    <row r="110" customFormat="false" ht="15" hidden="false" customHeight="false" outlineLevel="0" collapsed="false">
      <c r="A110" s="35" t="s">
        <v>564</v>
      </c>
      <c r="B110" s="64" t="n">
        <v>45945</v>
      </c>
      <c r="C110" s="35" t="s">
        <v>565</v>
      </c>
      <c r="D110" s="35" t="s">
        <v>514</v>
      </c>
      <c r="E110" s="35" t="n">
        <v>44</v>
      </c>
      <c r="F110" s="35" t="s">
        <v>234</v>
      </c>
      <c r="G110" s="35" t="s">
        <v>220</v>
      </c>
      <c r="H110" s="35" t="s">
        <v>212</v>
      </c>
      <c r="I110" s="35" t="s">
        <v>203</v>
      </c>
      <c r="J110" s="35" t="n">
        <v>3</v>
      </c>
      <c r="K110" s="65" t="n">
        <v>42806.52</v>
      </c>
      <c r="L110" s="65" t="n">
        <v>128419.56</v>
      </c>
      <c r="M110" s="66" t="n">
        <f aca="false">DATE(YEAR(B110),MONTH(B110),1)</f>
        <v>45931</v>
      </c>
      <c r="N110" s="35" t="str">
        <f aca="false">IF(G110="","Unknown",G110)</f>
        <v>Hyderabad</v>
      </c>
      <c r="O110" s="35" t="str">
        <f aca="false">IF(E110="","Unknown",IF(E110&lt;=25,"18-25",IF(E110&lt;=35,"26-35",IF(E110&lt;=45,"36-45",IF(E110&lt;=55,"46-55","56-65")))))</f>
        <v>36-45</v>
      </c>
      <c r="P110" s="35" t="n">
        <f aca="false">COUNTIF($C$2:$C$1001,C110)</f>
        <v>1</v>
      </c>
      <c r="Q110" s="35" t="n">
        <f aca="false">IF(COUNTIF($C$2:C110,C110)=1,1,0)</f>
        <v>1</v>
      </c>
    </row>
    <row r="111" customFormat="false" ht="15" hidden="false" customHeight="false" outlineLevel="0" collapsed="false">
      <c r="A111" s="35" t="s">
        <v>566</v>
      </c>
      <c r="B111" s="64" t="n">
        <v>45904</v>
      </c>
      <c r="C111" s="35" t="s">
        <v>567</v>
      </c>
      <c r="D111" s="35" t="s">
        <v>305</v>
      </c>
      <c r="E111" s="35" t="n">
        <v>28</v>
      </c>
      <c r="F111" s="35" t="s">
        <v>235</v>
      </c>
      <c r="G111" s="35" t="s">
        <v>217</v>
      </c>
      <c r="H111" s="35" t="s">
        <v>208</v>
      </c>
      <c r="I111" s="35" t="s">
        <v>200</v>
      </c>
      <c r="J111" s="35" t="n">
        <v>6</v>
      </c>
      <c r="K111" s="65" t="n">
        <v>5533</v>
      </c>
      <c r="L111" s="65" t="n">
        <v>33198</v>
      </c>
      <c r="M111" s="66" t="n">
        <f aca="false">DATE(YEAR(B111),MONTH(B111),1)</f>
        <v>45901</v>
      </c>
      <c r="N111" s="35" t="str">
        <f aca="false">IF(G111="","Unknown",G111)</f>
        <v>Kolkata</v>
      </c>
      <c r="O111" s="35" t="str">
        <f aca="false">IF(E111="","Unknown",IF(E111&lt;=25,"18-25",IF(E111&lt;=35,"26-35",IF(E111&lt;=45,"36-45",IF(E111&lt;=55,"46-55","56-65")))))</f>
        <v>26-35</v>
      </c>
      <c r="P111" s="35" t="n">
        <f aca="false">COUNTIF($C$2:$C$1001,C111)</f>
        <v>1</v>
      </c>
      <c r="Q111" s="35" t="n">
        <f aca="false">IF(COUNTIF($C$2:C111,C111)=1,1,0)</f>
        <v>1</v>
      </c>
    </row>
    <row r="112" customFormat="false" ht="15" hidden="false" customHeight="false" outlineLevel="0" collapsed="false">
      <c r="A112" s="35" t="s">
        <v>568</v>
      </c>
      <c r="B112" s="64" t="n">
        <v>45717</v>
      </c>
      <c r="C112" s="35" t="s">
        <v>569</v>
      </c>
      <c r="D112" s="35" t="s">
        <v>570</v>
      </c>
      <c r="E112" s="35" t="n">
        <v>32</v>
      </c>
      <c r="F112" s="35" t="s">
        <v>234</v>
      </c>
      <c r="G112" s="35" t="s">
        <v>223</v>
      </c>
      <c r="H112" s="35" t="s">
        <v>208</v>
      </c>
      <c r="I112" s="35" t="s">
        <v>200</v>
      </c>
      <c r="J112" s="35" t="n">
        <v>3</v>
      </c>
      <c r="K112" s="65" t="n">
        <v>2638.97</v>
      </c>
      <c r="L112" s="65" t="n">
        <v>7916.91</v>
      </c>
      <c r="M112" s="66" t="n">
        <f aca="false">DATE(YEAR(B112),MONTH(B112),1)</f>
        <v>45717</v>
      </c>
      <c r="N112" s="35" t="str">
        <f aca="false">IF(G112="","Unknown",G112)</f>
        <v>Gaya</v>
      </c>
      <c r="O112" s="35" t="str">
        <f aca="false">IF(E112="","Unknown",IF(E112&lt;=25,"18-25",IF(E112&lt;=35,"26-35",IF(E112&lt;=45,"36-45",IF(E112&lt;=55,"46-55","56-65")))))</f>
        <v>26-35</v>
      </c>
      <c r="P112" s="35" t="n">
        <f aca="false">COUNTIF($C$2:$C$1001,C112)</f>
        <v>2</v>
      </c>
      <c r="Q112" s="35" t="n">
        <f aca="false">IF(COUNTIF($C$2:C112,C112)=1,1,0)</f>
        <v>1</v>
      </c>
    </row>
    <row r="113" customFormat="false" ht="15" hidden="false" customHeight="false" outlineLevel="0" collapsed="false">
      <c r="A113" s="35" t="s">
        <v>571</v>
      </c>
      <c r="B113" s="64" t="n">
        <v>45674</v>
      </c>
      <c r="C113" s="35" t="s">
        <v>572</v>
      </c>
      <c r="D113" s="35" t="s">
        <v>573</v>
      </c>
      <c r="E113" s="35" t="n">
        <v>49</v>
      </c>
      <c r="F113" s="35" t="s">
        <v>234</v>
      </c>
      <c r="G113" s="35" t="s">
        <v>221</v>
      </c>
      <c r="H113" s="35" t="s">
        <v>210</v>
      </c>
      <c r="I113" s="35" t="s">
        <v>201</v>
      </c>
      <c r="J113" s="35" t="n">
        <v>4</v>
      </c>
      <c r="K113" s="65" t="n">
        <v>25002.72</v>
      </c>
      <c r="L113" s="65" t="n">
        <v>100010.88</v>
      </c>
      <c r="M113" s="66" t="n">
        <f aca="false">DATE(YEAR(B113),MONTH(B113),1)</f>
        <v>45658</v>
      </c>
      <c r="N113" s="35" t="str">
        <f aca="false">IF(G113="","Unknown",G113)</f>
        <v>Delhi</v>
      </c>
      <c r="O113" s="35" t="str">
        <f aca="false">IF(E113="","Unknown",IF(E113&lt;=25,"18-25",IF(E113&lt;=35,"26-35",IF(E113&lt;=45,"36-45",IF(E113&lt;=55,"46-55","56-65")))))</f>
        <v>46-55</v>
      </c>
      <c r="P113" s="35" t="n">
        <f aca="false">COUNTIF($C$2:$C$1001,C113)</f>
        <v>1</v>
      </c>
      <c r="Q113" s="35" t="n">
        <f aca="false">IF(COUNTIF($C$2:C113,C113)=1,1,0)</f>
        <v>1</v>
      </c>
    </row>
    <row r="114" customFormat="false" ht="15" hidden="false" customHeight="false" outlineLevel="0" collapsed="false">
      <c r="A114" s="35" t="s">
        <v>574</v>
      </c>
      <c r="B114" s="64" t="n">
        <v>45849</v>
      </c>
      <c r="C114" s="35" t="s">
        <v>575</v>
      </c>
      <c r="D114" s="35" t="s">
        <v>353</v>
      </c>
      <c r="E114" s="35" t="n">
        <v>35</v>
      </c>
      <c r="F114" s="35" t="s">
        <v>235</v>
      </c>
      <c r="G114" s="35" t="s">
        <v>220</v>
      </c>
      <c r="H114" s="35" t="s">
        <v>210</v>
      </c>
      <c r="I114" s="35" t="s">
        <v>201</v>
      </c>
      <c r="J114" s="35" t="n">
        <v>10</v>
      </c>
      <c r="K114" s="65" t="n">
        <v>10391.75</v>
      </c>
      <c r="L114" s="65" t="n">
        <v>103917.5</v>
      </c>
      <c r="M114" s="66" t="n">
        <f aca="false">DATE(YEAR(B114),MONTH(B114),1)</f>
        <v>45839</v>
      </c>
      <c r="N114" s="35" t="str">
        <f aca="false">IF(G114="","Unknown",G114)</f>
        <v>Hyderabad</v>
      </c>
      <c r="O114" s="35" t="str">
        <f aca="false">IF(E114="","Unknown",IF(E114&lt;=25,"18-25",IF(E114&lt;=35,"26-35",IF(E114&lt;=45,"36-45",IF(E114&lt;=55,"46-55","56-65")))))</f>
        <v>26-35</v>
      </c>
      <c r="P114" s="35" t="n">
        <f aca="false">COUNTIF($C$2:$C$1001,C114)</f>
        <v>1</v>
      </c>
      <c r="Q114" s="35" t="n">
        <f aca="false">IF(COUNTIF($C$2:C114,C114)=1,1,0)</f>
        <v>1</v>
      </c>
    </row>
    <row r="115" customFormat="false" ht="15" hidden="false" customHeight="false" outlineLevel="0" collapsed="false">
      <c r="A115" s="35" t="s">
        <v>576</v>
      </c>
      <c r="B115" s="64" t="n">
        <v>45909</v>
      </c>
      <c r="C115" s="35" t="s">
        <v>577</v>
      </c>
      <c r="D115" s="35" t="s">
        <v>578</v>
      </c>
      <c r="E115" s="35" t="n">
        <v>48</v>
      </c>
      <c r="F115" s="35" t="s">
        <v>234</v>
      </c>
      <c r="G115" s="35" t="s">
        <v>218</v>
      </c>
      <c r="H115" s="35" t="s">
        <v>210</v>
      </c>
      <c r="I115" s="35" t="s">
        <v>201</v>
      </c>
      <c r="J115" s="35" t="n">
        <v>10</v>
      </c>
      <c r="K115" s="65" t="n">
        <v>22437.16</v>
      </c>
      <c r="L115" s="65" t="n">
        <v>224371.6</v>
      </c>
      <c r="M115" s="66" t="n">
        <f aca="false">DATE(YEAR(B115),MONTH(B115),1)</f>
        <v>45901</v>
      </c>
      <c r="N115" s="35" t="str">
        <f aca="false">IF(G115="","Unknown",G115)</f>
        <v>Bengaluru</v>
      </c>
      <c r="O115" s="35" t="str">
        <f aca="false">IF(E115="","Unknown",IF(E115&lt;=25,"18-25",IF(E115&lt;=35,"26-35",IF(E115&lt;=45,"36-45",IF(E115&lt;=55,"46-55","56-65")))))</f>
        <v>46-55</v>
      </c>
      <c r="P115" s="35" t="n">
        <f aca="false">COUNTIF($C$2:$C$1001,C115)</f>
        <v>1</v>
      </c>
      <c r="Q115" s="35" t="n">
        <f aca="false">IF(COUNTIF($C$2:C115,C115)=1,1,0)</f>
        <v>1</v>
      </c>
    </row>
    <row r="116" customFormat="false" ht="15" hidden="false" customHeight="false" outlineLevel="0" collapsed="false">
      <c r="A116" s="35" t="s">
        <v>579</v>
      </c>
      <c r="B116" s="64" t="n">
        <v>45701</v>
      </c>
      <c r="C116" s="35" t="s">
        <v>580</v>
      </c>
      <c r="D116" s="35" t="s">
        <v>581</v>
      </c>
      <c r="E116" s="35" t="n">
        <v>63</v>
      </c>
      <c r="F116" s="35" t="s">
        <v>235</v>
      </c>
      <c r="G116" s="35" t="s">
        <v>220</v>
      </c>
      <c r="H116" s="35" t="s">
        <v>208</v>
      </c>
      <c r="I116" s="35" t="s">
        <v>200</v>
      </c>
      <c r="J116" s="35" t="n">
        <v>9</v>
      </c>
      <c r="K116" s="65" t="n">
        <v>41053.56</v>
      </c>
      <c r="L116" s="65" t="n">
        <v>369482.04</v>
      </c>
      <c r="M116" s="66" t="n">
        <f aca="false">DATE(YEAR(B116),MONTH(B116),1)</f>
        <v>45689</v>
      </c>
      <c r="N116" s="35" t="str">
        <f aca="false">IF(G116="","Unknown",G116)</f>
        <v>Hyderabad</v>
      </c>
      <c r="O116" s="35" t="str">
        <f aca="false">IF(E116="","Unknown",IF(E116&lt;=25,"18-25",IF(E116&lt;=35,"26-35",IF(E116&lt;=45,"36-45",IF(E116&lt;=55,"46-55","56-65")))))</f>
        <v>56-65</v>
      </c>
      <c r="P116" s="35" t="n">
        <f aca="false">COUNTIF($C$2:$C$1001,C116)</f>
        <v>1</v>
      </c>
      <c r="Q116" s="35" t="n">
        <f aca="false">IF(COUNTIF($C$2:C116,C116)=1,1,0)</f>
        <v>1</v>
      </c>
    </row>
    <row r="117" customFormat="false" ht="15" hidden="false" customHeight="false" outlineLevel="0" collapsed="false">
      <c r="A117" s="35" t="s">
        <v>582</v>
      </c>
      <c r="B117" s="64" t="n">
        <v>45743</v>
      </c>
      <c r="C117" s="35" t="s">
        <v>583</v>
      </c>
      <c r="D117" s="35" t="s">
        <v>584</v>
      </c>
      <c r="E117" s="35" t="n">
        <v>46</v>
      </c>
      <c r="F117" s="35" t="s">
        <v>235</v>
      </c>
      <c r="G117" s="35" t="s">
        <v>216</v>
      </c>
      <c r="H117" s="35" t="s">
        <v>211</v>
      </c>
      <c r="I117" s="35" t="s">
        <v>202</v>
      </c>
      <c r="J117" s="35" t="n">
        <v>2</v>
      </c>
      <c r="K117" s="65" t="n">
        <v>21391.19</v>
      </c>
      <c r="L117" s="65" t="n">
        <v>42782.38</v>
      </c>
      <c r="M117" s="66" t="n">
        <f aca="false">DATE(YEAR(B117),MONTH(B117),1)</f>
        <v>45717</v>
      </c>
      <c r="N117" s="35" t="str">
        <f aca="false">IF(G117="","Unknown",G117)</f>
        <v>Patna</v>
      </c>
      <c r="O117" s="35" t="str">
        <f aca="false">IF(E117="","Unknown",IF(E117&lt;=25,"18-25",IF(E117&lt;=35,"26-35",IF(E117&lt;=45,"36-45",IF(E117&lt;=55,"46-55","56-65")))))</f>
        <v>46-55</v>
      </c>
      <c r="P117" s="35" t="n">
        <f aca="false">COUNTIF($C$2:$C$1001,C117)</f>
        <v>1</v>
      </c>
      <c r="Q117" s="35" t="n">
        <f aca="false">IF(COUNTIF($C$2:C117,C117)=1,1,0)</f>
        <v>1</v>
      </c>
    </row>
    <row r="118" customFormat="false" ht="15" hidden="false" customHeight="false" outlineLevel="0" collapsed="false">
      <c r="A118" s="35" t="s">
        <v>585</v>
      </c>
      <c r="B118" s="64" t="n">
        <v>45918</v>
      </c>
      <c r="C118" s="35" t="s">
        <v>586</v>
      </c>
      <c r="D118" s="35" t="s">
        <v>587</v>
      </c>
      <c r="E118" s="35" t="n">
        <v>33</v>
      </c>
      <c r="F118" s="35" t="s">
        <v>235</v>
      </c>
      <c r="G118" s="35" t="s">
        <v>221</v>
      </c>
      <c r="H118" s="35" t="s">
        <v>212</v>
      </c>
      <c r="I118" s="35" t="s">
        <v>203</v>
      </c>
      <c r="J118" s="35" t="n">
        <v>4</v>
      </c>
      <c r="K118" s="65" t="n">
        <v>36875.19</v>
      </c>
      <c r="L118" s="65" t="n">
        <v>147500.76</v>
      </c>
      <c r="M118" s="66" t="n">
        <f aca="false">DATE(YEAR(B118),MONTH(B118),1)</f>
        <v>45901</v>
      </c>
      <c r="N118" s="35" t="str">
        <f aca="false">IF(G118="","Unknown",G118)</f>
        <v>Delhi</v>
      </c>
      <c r="O118" s="35" t="str">
        <f aca="false">IF(E118="","Unknown",IF(E118&lt;=25,"18-25",IF(E118&lt;=35,"26-35",IF(E118&lt;=45,"36-45",IF(E118&lt;=55,"46-55","56-65")))))</f>
        <v>26-35</v>
      </c>
      <c r="P118" s="35" t="n">
        <f aca="false">COUNTIF($C$2:$C$1001,C118)</f>
        <v>1</v>
      </c>
      <c r="Q118" s="35" t="n">
        <f aca="false">IF(COUNTIF($C$2:C118,C118)=1,1,0)</f>
        <v>1</v>
      </c>
    </row>
    <row r="119" customFormat="false" ht="15" hidden="false" customHeight="false" outlineLevel="0" collapsed="false">
      <c r="A119" s="35" t="s">
        <v>588</v>
      </c>
      <c r="B119" s="64" t="n">
        <v>45757</v>
      </c>
      <c r="C119" s="35" t="s">
        <v>589</v>
      </c>
      <c r="D119" s="35" t="s">
        <v>590</v>
      </c>
      <c r="E119" s="35" t="n">
        <v>49</v>
      </c>
      <c r="F119" s="35" t="s">
        <v>235</v>
      </c>
      <c r="G119" s="35" t="s">
        <v>220</v>
      </c>
      <c r="H119" s="35" t="s">
        <v>209</v>
      </c>
      <c r="I119" s="35" t="s">
        <v>200</v>
      </c>
      <c r="J119" s="35" t="n">
        <v>4</v>
      </c>
      <c r="K119" s="65" t="n">
        <v>41640.74</v>
      </c>
      <c r="L119" s="65" t="n">
        <v>166562.96</v>
      </c>
      <c r="M119" s="66" t="n">
        <f aca="false">DATE(YEAR(B119),MONTH(B119),1)</f>
        <v>45748</v>
      </c>
      <c r="N119" s="35" t="str">
        <f aca="false">IF(G119="","Unknown",G119)</f>
        <v>Hyderabad</v>
      </c>
      <c r="O119" s="35" t="str">
        <f aca="false">IF(E119="","Unknown",IF(E119&lt;=25,"18-25",IF(E119&lt;=35,"26-35",IF(E119&lt;=45,"36-45",IF(E119&lt;=55,"46-55","56-65")))))</f>
        <v>46-55</v>
      </c>
      <c r="P119" s="35" t="n">
        <f aca="false">COUNTIF($C$2:$C$1001,C119)</f>
        <v>1</v>
      </c>
      <c r="Q119" s="35" t="n">
        <f aca="false">IF(COUNTIF($C$2:C119,C119)=1,1,0)</f>
        <v>1</v>
      </c>
    </row>
    <row r="120" customFormat="false" ht="15" hidden="false" customHeight="false" outlineLevel="0" collapsed="false">
      <c r="A120" s="35" t="s">
        <v>392</v>
      </c>
      <c r="B120" s="64" t="n">
        <v>45679</v>
      </c>
      <c r="C120" s="35" t="s">
        <v>591</v>
      </c>
      <c r="D120" s="35" t="s">
        <v>592</v>
      </c>
      <c r="E120" s="35" t="n">
        <v>34</v>
      </c>
      <c r="F120" s="35" t="s">
        <v>234</v>
      </c>
      <c r="G120" s="35" t="s">
        <v>217</v>
      </c>
      <c r="H120" s="35" t="s">
        <v>210</v>
      </c>
      <c r="I120" s="35" t="s">
        <v>201</v>
      </c>
      <c r="J120" s="35" t="n">
        <v>2</v>
      </c>
      <c r="K120" s="65" t="n">
        <v>25795.55</v>
      </c>
      <c r="L120" s="65" t="n">
        <v>51591.1</v>
      </c>
      <c r="M120" s="66" t="n">
        <f aca="false">DATE(YEAR(B120),MONTH(B120),1)</f>
        <v>45658</v>
      </c>
      <c r="N120" s="35" t="str">
        <f aca="false">IF(G120="","Unknown",G120)</f>
        <v>Kolkata</v>
      </c>
      <c r="O120" s="35" t="str">
        <f aca="false">IF(E120="","Unknown",IF(E120&lt;=25,"18-25",IF(E120&lt;=35,"26-35",IF(E120&lt;=45,"36-45",IF(E120&lt;=55,"46-55","56-65")))))</f>
        <v>26-35</v>
      </c>
      <c r="P120" s="35" t="n">
        <f aca="false">COUNTIF($C$2:$C$1001,C120)</f>
        <v>1</v>
      </c>
      <c r="Q120" s="35" t="n">
        <f aca="false">IF(COUNTIF($C$2:C120,C120)=1,1,0)</f>
        <v>1</v>
      </c>
    </row>
    <row r="121" customFormat="false" ht="15" hidden="false" customHeight="false" outlineLevel="0" collapsed="false">
      <c r="A121" s="35" t="s">
        <v>593</v>
      </c>
      <c r="B121" s="64" t="n">
        <v>45796</v>
      </c>
      <c r="C121" s="35" t="s">
        <v>594</v>
      </c>
      <c r="D121" s="35" t="s">
        <v>595</v>
      </c>
      <c r="E121" s="35" t="n">
        <v>24</v>
      </c>
      <c r="F121" s="35" t="s">
        <v>234</v>
      </c>
      <c r="G121" s="35" t="s">
        <v>223</v>
      </c>
      <c r="H121" s="35" t="s">
        <v>210</v>
      </c>
      <c r="I121" s="35" t="s">
        <v>201</v>
      </c>
      <c r="J121" s="35" t="n">
        <v>8</v>
      </c>
      <c r="K121" s="65" t="n">
        <v>4391.72</v>
      </c>
      <c r="L121" s="65" t="n">
        <v>35133.76</v>
      </c>
      <c r="M121" s="66" t="n">
        <f aca="false">DATE(YEAR(B121),MONTH(B121),1)</f>
        <v>45778</v>
      </c>
      <c r="N121" s="35" t="str">
        <f aca="false">IF(G121="","Unknown",G121)</f>
        <v>Gaya</v>
      </c>
      <c r="O121" s="35" t="str">
        <f aca="false">IF(E121="","Unknown",IF(E121&lt;=25,"18-25",IF(E121&lt;=35,"26-35",IF(E121&lt;=45,"36-45",IF(E121&lt;=55,"46-55","56-65")))))</f>
        <v>18-25</v>
      </c>
      <c r="P121" s="35" t="n">
        <f aca="false">COUNTIF($C$2:$C$1001,C121)</f>
        <v>1</v>
      </c>
      <c r="Q121" s="35" t="n">
        <f aca="false">IF(COUNTIF($C$2:C121,C121)=1,1,0)</f>
        <v>1</v>
      </c>
    </row>
    <row r="122" customFormat="false" ht="15" hidden="false" customHeight="false" outlineLevel="0" collapsed="false">
      <c r="A122" s="35" t="s">
        <v>596</v>
      </c>
      <c r="B122" s="64" t="n">
        <v>46013</v>
      </c>
      <c r="C122" s="35" t="s">
        <v>597</v>
      </c>
      <c r="D122" s="35" t="s">
        <v>474</v>
      </c>
      <c r="E122" s="35" t="n">
        <v>39</v>
      </c>
      <c r="F122" s="35" t="s">
        <v>235</v>
      </c>
      <c r="G122" s="35" t="s">
        <v>216</v>
      </c>
      <c r="H122" s="35" t="s">
        <v>208</v>
      </c>
      <c r="I122" s="35" t="s">
        <v>200</v>
      </c>
      <c r="J122" s="35" t="n">
        <v>2</v>
      </c>
      <c r="K122" s="65" t="n">
        <v>18152.14</v>
      </c>
      <c r="L122" s="65" t="n">
        <v>36304.28</v>
      </c>
      <c r="M122" s="66" t="n">
        <f aca="false">DATE(YEAR(B122),MONTH(B122),1)</f>
        <v>45992</v>
      </c>
      <c r="N122" s="35" t="str">
        <f aca="false">IF(G122="","Unknown",G122)</f>
        <v>Patna</v>
      </c>
      <c r="O122" s="35" t="str">
        <f aca="false">IF(E122="","Unknown",IF(E122&lt;=25,"18-25",IF(E122&lt;=35,"26-35",IF(E122&lt;=45,"36-45",IF(E122&lt;=55,"46-55","56-65")))))</f>
        <v>36-45</v>
      </c>
      <c r="P122" s="35" t="n">
        <f aca="false">COUNTIF($C$2:$C$1001,C122)</f>
        <v>1</v>
      </c>
      <c r="Q122" s="35" t="n">
        <f aca="false">IF(COUNTIF($C$2:C122,C122)=1,1,0)</f>
        <v>1</v>
      </c>
    </row>
    <row r="123" customFormat="false" ht="15" hidden="false" customHeight="false" outlineLevel="0" collapsed="false">
      <c r="A123" s="35" t="s">
        <v>598</v>
      </c>
      <c r="B123" s="64" t="n">
        <v>45981</v>
      </c>
      <c r="C123" s="35" t="s">
        <v>599</v>
      </c>
      <c r="D123" s="35" t="s">
        <v>600</v>
      </c>
      <c r="E123" s="35" t="n">
        <v>23</v>
      </c>
      <c r="F123" s="35" t="s">
        <v>234</v>
      </c>
      <c r="G123" s="35" t="s">
        <v>220</v>
      </c>
      <c r="H123" s="35" t="s">
        <v>209</v>
      </c>
      <c r="I123" s="35" t="s">
        <v>200</v>
      </c>
      <c r="J123" s="35" t="n">
        <v>7</v>
      </c>
      <c r="K123" s="65" t="n">
        <v>16254.12</v>
      </c>
      <c r="L123" s="65" t="n">
        <v>113778.84</v>
      </c>
      <c r="M123" s="66" t="n">
        <f aca="false">DATE(YEAR(B123),MONTH(B123),1)</f>
        <v>45962</v>
      </c>
      <c r="N123" s="35" t="str">
        <f aca="false">IF(G123="","Unknown",G123)</f>
        <v>Hyderabad</v>
      </c>
      <c r="O123" s="35" t="str">
        <f aca="false">IF(E123="","Unknown",IF(E123&lt;=25,"18-25",IF(E123&lt;=35,"26-35",IF(E123&lt;=45,"36-45",IF(E123&lt;=55,"46-55","56-65")))))</f>
        <v>18-25</v>
      </c>
      <c r="P123" s="35" t="n">
        <f aca="false">COUNTIF($C$2:$C$1001,C123)</f>
        <v>1</v>
      </c>
      <c r="Q123" s="35" t="n">
        <f aca="false">IF(COUNTIF($C$2:C123,C123)=1,1,0)</f>
        <v>1</v>
      </c>
    </row>
    <row r="124" customFormat="false" ht="15" hidden="false" customHeight="false" outlineLevel="0" collapsed="false">
      <c r="A124" s="35" t="s">
        <v>601</v>
      </c>
      <c r="B124" s="64" t="n">
        <v>45846</v>
      </c>
      <c r="C124" s="35" t="s">
        <v>602</v>
      </c>
      <c r="D124" s="35" t="s">
        <v>603</v>
      </c>
      <c r="E124" s="35" t="n">
        <v>53</v>
      </c>
      <c r="F124" s="35" t="s">
        <v>234</v>
      </c>
      <c r="G124" s="35" t="s">
        <v>220</v>
      </c>
      <c r="H124" s="35" t="s">
        <v>213</v>
      </c>
      <c r="I124" s="35" t="s">
        <v>204</v>
      </c>
      <c r="J124" s="35" t="n">
        <v>5</v>
      </c>
      <c r="K124" s="65" t="n">
        <v>3805.27</v>
      </c>
      <c r="L124" s="65" t="n">
        <v>19026.35</v>
      </c>
      <c r="M124" s="66" t="n">
        <f aca="false">DATE(YEAR(B124),MONTH(B124),1)</f>
        <v>45839</v>
      </c>
      <c r="N124" s="35" t="str">
        <f aca="false">IF(G124="","Unknown",G124)</f>
        <v>Hyderabad</v>
      </c>
      <c r="O124" s="35" t="str">
        <f aca="false">IF(E124="","Unknown",IF(E124&lt;=25,"18-25",IF(E124&lt;=35,"26-35",IF(E124&lt;=45,"36-45",IF(E124&lt;=55,"46-55","56-65")))))</f>
        <v>46-55</v>
      </c>
      <c r="P124" s="35" t="n">
        <f aca="false">COUNTIF($C$2:$C$1001,C124)</f>
        <v>1</v>
      </c>
      <c r="Q124" s="35" t="n">
        <f aca="false">IF(COUNTIF($C$2:C124,C124)=1,1,0)</f>
        <v>1</v>
      </c>
    </row>
    <row r="125" customFormat="false" ht="15" hidden="false" customHeight="false" outlineLevel="0" collapsed="false">
      <c r="A125" s="35" t="s">
        <v>604</v>
      </c>
      <c r="B125" s="64" t="n">
        <v>45671</v>
      </c>
      <c r="C125" s="35" t="s">
        <v>605</v>
      </c>
      <c r="D125" s="35" t="s">
        <v>606</v>
      </c>
      <c r="E125" s="35" t="n">
        <v>33</v>
      </c>
      <c r="F125" s="35" t="s">
        <v>234</v>
      </c>
      <c r="G125" s="35" t="s">
        <v>220</v>
      </c>
      <c r="H125" s="35" t="s">
        <v>210</v>
      </c>
      <c r="I125" s="35" t="s">
        <v>201</v>
      </c>
      <c r="J125" s="35" t="n">
        <v>7</v>
      </c>
      <c r="K125" s="65" t="n">
        <v>46489.41</v>
      </c>
      <c r="L125" s="65" t="n">
        <v>325425.87</v>
      </c>
      <c r="M125" s="66" t="n">
        <f aca="false">DATE(YEAR(B125),MONTH(B125),1)</f>
        <v>45658</v>
      </c>
      <c r="N125" s="35" t="str">
        <f aca="false">IF(G125="","Unknown",G125)</f>
        <v>Hyderabad</v>
      </c>
      <c r="O125" s="35" t="str">
        <f aca="false">IF(E125="","Unknown",IF(E125&lt;=25,"18-25",IF(E125&lt;=35,"26-35",IF(E125&lt;=45,"36-45",IF(E125&lt;=55,"46-55","56-65")))))</f>
        <v>26-35</v>
      </c>
      <c r="P125" s="35" t="n">
        <f aca="false">COUNTIF($C$2:$C$1001,C125)</f>
        <v>1</v>
      </c>
      <c r="Q125" s="35" t="n">
        <f aca="false">IF(COUNTIF($C$2:C125,C125)=1,1,0)</f>
        <v>1</v>
      </c>
    </row>
    <row r="126" customFormat="false" ht="15" hidden="false" customHeight="false" outlineLevel="0" collapsed="false">
      <c r="A126" s="35" t="s">
        <v>607</v>
      </c>
      <c r="B126" s="64" t="n">
        <v>45821</v>
      </c>
      <c r="C126" s="35" t="s">
        <v>608</v>
      </c>
      <c r="D126" s="35" t="s">
        <v>609</v>
      </c>
      <c r="E126" s="35" t="n">
        <v>34</v>
      </c>
      <c r="F126" s="35" t="s">
        <v>235</v>
      </c>
      <c r="G126" s="35" t="s">
        <v>216</v>
      </c>
      <c r="H126" s="35" t="s">
        <v>213</v>
      </c>
      <c r="I126" s="35" t="s">
        <v>204</v>
      </c>
      <c r="J126" s="35" t="n">
        <v>1</v>
      </c>
      <c r="K126" s="65" t="n">
        <v>17041.21</v>
      </c>
      <c r="L126" s="65" t="n">
        <v>17041.21</v>
      </c>
      <c r="M126" s="66" t="n">
        <f aca="false">DATE(YEAR(B126),MONTH(B126),1)</f>
        <v>45809</v>
      </c>
      <c r="N126" s="35" t="str">
        <f aca="false">IF(G126="","Unknown",G126)</f>
        <v>Patna</v>
      </c>
      <c r="O126" s="35" t="str">
        <f aca="false">IF(E126="","Unknown",IF(E126&lt;=25,"18-25",IF(E126&lt;=35,"26-35",IF(E126&lt;=45,"36-45",IF(E126&lt;=55,"46-55","56-65")))))</f>
        <v>26-35</v>
      </c>
      <c r="P126" s="35" t="n">
        <f aca="false">COUNTIF($C$2:$C$1001,C126)</f>
        <v>1</v>
      </c>
      <c r="Q126" s="35" t="n">
        <f aca="false">IF(COUNTIF($C$2:C126,C126)=1,1,0)</f>
        <v>1</v>
      </c>
    </row>
    <row r="127" customFormat="false" ht="15" hidden="false" customHeight="false" outlineLevel="0" collapsed="false">
      <c r="A127" s="35" t="s">
        <v>610</v>
      </c>
      <c r="B127" s="64" t="n">
        <v>45671</v>
      </c>
      <c r="C127" s="35" t="s">
        <v>611</v>
      </c>
      <c r="D127" s="35" t="s">
        <v>612</v>
      </c>
      <c r="E127" s="35" t="n">
        <v>57</v>
      </c>
      <c r="F127" s="35" t="s">
        <v>234</v>
      </c>
      <c r="G127" s="35" t="s">
        <v>216</v>
      </c>
      <c r="H127" s="35" t="s">
        <v>211</v>
      </c>
      <c r="I127" s="35" t="s">
        <v>202</v>
      </c>
      <c r="J127" s="35" t="n">
        <v>6</v>
      </c>
      <c r="K127" s="65" t="n">
        <v>41494.43</v>
      </c>
      <c r="L127" s="65" t="n">
        <v>248966.58</v>
      </c>
      <c r="M127" s="66" t="n">
        <f aca="false">DATE(YEAR(B127),MONTH(B127),1)</f>
        <v>45658</v>
      </c>
      <c r="N127" s="35" t="str">
        <f aca="false">IF(G127="","Unknown",G127)</f>
        <v>Patna</v>
      </c>
      <c r="O127" s="35" t="str">
        <f aca="false">IF(E127="","Unknown",IF(E127&lt;=25,"18-25",IF(E127&lt;=35,"26-35",IF(E127&lt;=45,"36-45",IF(E127&lt;=55,"46-55","56-65")))))</f>
        <v>56-65</v>
      </c>
      <c r="P127" s="35" t="n">
        <f aca="false">COUNTIF($C$2:$C$1001,C127)</f>
        <v>1</v>
      </c>
      <c r="Q127" s="35" t="n">
        <f aca="false">IF(COUNTIF($C$2:C127,C127)=1,1,0)</f>
        <v>1</v>
      </c>
    </row>
    <row r="128" customFormat="false" ht="15" hidden="false" customHeight="false" outlineLevel="0" collapsed="false">
      <c r="A128" s="35" t="s">
        <v>613</v>
      </c>
      <c r="B128" s="64" t="n">
        <v>45995</v>
      </c>
      <c r="C128" s="35" t="s">
        <v>614</v>
      </c>
      <c r="D128" s="35" t="s">
        <v>615</v>
      </c>
      <c r="E128" s="35" t="n">
        <v>55</v>
      </c>
      <c r="F128" s="35" t="s">
        <v>234</v>
      </c>
      <c r="G128" s="35" t="s">
        <v>223</v>
      </c>
      <c r="H128" s="35" t="s">
        <v>211</v>
      </c>
      <c r="I128" s="35" t="s">
        <v>202</v>
      </c>
      <c r="J128" s="35" t="n">
        <v>10</v>
      </c>
      <c r="K128" s="65" t="n">
        <v>25930.1</v>
      </c>
      <c r="L128" s="65" t="n">
        <v>259301</v>
      </c>
      <c r="M128" s="66" t="n">
        <f aca="false">DATE(YEAR(B128),MONTH(B128),1)</f>
        <v>45992</v>
      </c>
      <c r="N128" s="35" t="str">
        <f aca="false">IF(G128="","Unknown",G128)</f>
        <v>Gaya</v>
      </c>
      <c r="O128" s="35" t="str">
        <f aca="false">IF(E128="","Unknown",IF(E128&lt;=25,"18-25",IF(E128&lt;=35,"26-35",IF(E128&lt;=45,"36-45",IF(E128&lt;=55,"46-55","56-65")))))</f>
        <v>46-55</v>
      </c>
      <c r="P128" s="35" t="n">
        <f aca="false">COUNTIF($C$2:$C$1001,C128)</f>
        <v>1</v>
      </c>
      <c r="Q128" s="35" t="n">
        <f aca="false">IF(COUNTIF($C$2:C128,C128)=1,1,0)</f>
        <v>1</v>
      </c>
    </row>
    <row r="129" customFormat="false" ht="15" hidden="false" customHeight="false" outlineLevel="0" collapsed="false">
      <c r="A129" s="35" t="s">
        <v>616</v>
      </c>
      <c r="B129" s="64" t="n">
        <v>45720</v>
      </c>
      <c r="C129" s="35" t="s">
        <v>617</v>
      </c>
      <c r="D129" s="35" t="s">
        <v>618</v>
      </c>
      <c r="E129" s="35" t="n">
        <v>44</v>
      </c>
      <c r="F129" s="35" t="s">
        <v>234</v>
      </c>
      <c r="G129" s="35" t="s">
        <v>223</v>
      </c>
      <c r="H129" s="35" t="s">
        <v>208</v>
      </c>
      <c r="I129" s="35" t="s">
        <v>200</v>
      </c>
      <c r="J129" s="35" t="n">
        <v>8</v>
      </c>
      <c r="K129" s="65" t="n">
        <v>26281.83</v>
      </c>
      <c r="L129" s="65" t="n">
        <v>210254.64</v>
      </c>
      <c r="M129" s="66" t="n">
        <f aca="false">DATE(YEAR(B129),MONTH(B129),1)</f>
        <v>45717</v>
      </c>
      <c r="N129" s="35" t="str">
        <f aca="false">IF(G129="","Unknown",G129)</f>
        <v>Gaya</v>
      </c>
      <c r="O129" s="35" t="str">
        <f aca="false">IF(E129="","Unknown",IF(E129&lt;=25,"18-25",IF(E129&lt;=35,"26-35",IF(E129&lt;=45,"36-45",IF(E129&lt;=55,"46-55","56-65")))))</f>
        <v>36-45</v>
      </c>
      <c r="P129" s="35" t="n">
        <f aca="false">COUNTIF($C$2:$C$1001,C129)</f>
        <v>1</v>
      </c>
      <c r="Q129" s="35" t="n">
        <f aca="false">IF(COUNTIF($C$2:C129,C129)=1,1,0)</f>
        <v>1</v>
      </c>
    </row>
    <row r="130" customFormat="false" ht="15" hidden="false" customHeight="false" outlineLevel="0" collapsed="false">
      <c r="A130" s="35" t="s">
        <v>619</v>
      </c>
      <c r="B130" s="64" t="n">
        <v>45725</v>
      </c>
      <c r="C130" s="35" t="s">
        <v>620</v>
      </c>
      <c r="D130" s="35" t="s">
        <v>621</v>
      </c>
      <c r="E130" s="35" t="n">
        <v>33</v>
      </c>
      <c r="F130" s="35" t="s">
        <v>234</v>
      </c>
      <c r="G130" s="35" t="s">
        <v>216</v>
      </c>
      <c r="H130" s="35" t="s">
        <v>209</v>
      </c>
      <c r="I130" s="35" t="s">
        <v>200</v>
      </c>
      <c r="J130" s="35" t="n">
        <v>8</v>
      </c>
      <c r="K130" s="65" t="n">
        <v>21833.32</v>
      </c>
      <c r="L130" s="65" t="n">
        <v>174666.56</v>
      </c>
      <c r="M130" s="66" t="n">
        <f aca="false">DATE(YEAR(B130),MONTH(B130),1)</f>
        <v>45717</v>
      </c>
      <c r="N130" s="35" t="str">
        <f aca="false">IF(G130="","Unknown",G130)</f>
        <v>Patna</v>
      </c>
      <c r="O130" s="35" t="str">
        <f aca="false">IF(E130="","Unknown",IF(E130&lt;=25,"18-25",IF(E130&lt;=35,"26-35",IF(E130&lt;=45,"36-45",IF(E130&lt;=55,"46-55","56-65")))))</f>
        <v>26-35</v>
      </c>
      <c r="P130" s="35" t="n">
        <f aca="false">COUNTIF($C$2:$C$1001,C130)</f>
        <v>2</v>
      </c>
      <c r="Q130" s="35" t="n">
        <f aca="false">IF(COUNTIF($C$2:C130,C130)=1,1,0)</f>
        <v>1</v>
      </c>
    </row>
    <row r="131" customFormat="false" ht="15" hidden="false" customHeight="false" outlineLevel="0" collapsed="false">
      <c r="A131" s="35" t="s">
        <v>622</v>
      </c>
      <c r="B131" s="64" t="n">
        <v>45990</v>
      </c>
      <c r="C131" s="35" t="s">
        <v>623</v>
      </c>
      <c r="D131" s="35" t="s">
        <v>624</v>
      </c>
      <c r="E131" s="35" t="n">
        <v>20</v>
      </c>
      <c r="F131" s="35" t="s">
        <v>234</v>
      </c>
      <c r="G131" s="35" t="s">
        <v>216</v>
      </c>
      <c r="H131" s="35" t="s">
        <v>211</v>
      </c>
      <c r="I131" s="35" t="s">
        <v>202</v>
      </c>
      <c r="J131" s="35" t="n">
        <v>6</v>
      </c>
      <c r="K131" s="65" t="n">
        <v>40577.1</v>
      </c>
      <c r="L131" s="65" t="n">
        <v>243462.6</v>
      </c>
      <c r="M131" s="66" t="n">
        <f aca="false">DATE(YEAR(B131),MONTH(B131),1)</f>
        <v>45962</v>
      </c>
      <c r="N131" s="35" t="str">
        <f aca="false">IF(G131="","Unknown",G131)</f>
        <v>Patna</v>
      </c>
      <c r="O131" s="35" t="str">
        <f aca="false">IF(E131="","Unknown",IF(E131&lt;=25,"18-25",IF(E131&lt;=35,"26-35",IF(E131&lt;=45,"36-45",IF(E131&lt;=55,"46-55","56-65")))))</f>
        <v>18-25</v>
      </c>
      <c r="P131" s="35" t="n">
        <f aca="false">COUNTIF($C$2:$C$1001,C131)</f>
        <v>1</v>
      </c>
      <c r="Q131" s="35" t="n">
        <f aca="false">IF(COUNTIF($C$2:C131,C131)=1,1,0)</f>
        <v>1</v>
      </c>
    </row>
    <row r="132" customFormat="false" ht="15" hidden="false" customHeight="false" outlineLevel="0" collapsed="false">
      <c r="A132" s="35" t="s">
        <v>625</v>
      </c>
      <c r="B132" s="64" t="n">
        <v>45674</v>
      </c>
      <c r="C132" s="35" t="s">
        <v>626</v>
      </c>
      <c r="D132" s="35" t="s">
        <v>272</v>
      </c>
      <c r="E132" s="35" t="n">
        <v>37</v>
      </c>
      <c r="F132" s="35" t="s">
        <v>235</v>
      </c>
      <c r="G132" s="35" t="s">
        <v>223</v>
      </c>
      <c r="H132" s="35" t="s">
        <v>213</v>
      </c>
      <c r="I132" s="35" t="s">
        <v>204</v>
      </c>
      <c r="J132" s="35" t="n">
        <v>5</v>
      </c>
      <c r="K132" s="65" t="n">
        <v>39039.96</v>
      </c>
      <c r="L132" s="65" t="n">
        <v>195199.8</v>
      </c>
      <c r="M132" s="66" t="n">
        <f aca="false">DATE(YEAR(B132),MONTH(B132),1)</f>
        <v>45658</v>
      </c>
      <c r="N132" s="35" t="str">
        <f aca="false">IF(G132="","Unknown",G132)</f>
        <v>Gaya</v>
      </c>
      <c r="O132" s="35" t="str">
        <f aca="false">IF(E132="","Unknown",IF(E132&lt;=25,"18-25",IF(E132&lt;=35,"26-35",IF(E132&lt;=45,"36-45",IF(E132&lt;=55,"46-55","56-65")))))</f>
        <v>36-45</v>
      </c>
      <c r="P132" s="35" t="n">
        <f aca="false">COUNTIF($C$2:$C$1001,C132)</f>
        <v>1</v>
      </c>
      <c r="Q132" s="35" t="n">
        <f aca="false">IF(COUNTIF($C$2:C132,C132)=1,1,0)</f>
        <v>1</v>
      </c>
    </row>
    <row r="133" customFormat="false" ht="15" hidden="false" customHeight="false" outlineLevel="0" collapsed="false">
      <c r="A133" s="35" t="s">
        <v>627</v>
      </c>
      <c r="B133" s="64" t="n">
        <v>45741</v>
      </c>
      <c r="C133" s="35" t="s">
        <v>628</v>
      </c>
      <c r="D133" s="35" t="s">
        <v>573</v>
      </c>
      <c r="E133" s="35" t="n">
        <v>65</v>
      </c>
      <c r="F133" s="35" t="s">
        <v>235</v>
      </c>
      <c r="G133" s="35" t="s">
        <v>218</v>
      </c>
      <c r="H133" s="35" t="s">
        <v>210</v>
      </c>
      <c r="I133" s="35" t="s">
        <v>201</v>
      </c>
      <c r="J133" s="35" t="n">
        <v>10</v>
      </c>
      <c r="K133" s="65" t="n">
        <v>29902.97</v>
      </c>
      <c r="L133" s="65" t="n">
        <v>299029.7</v>
      </c>
      <c r="M133" s="66" t="n">
        <f aca="false">DATE(YEAR(B133),MONTH(B133),1)</f>
        <v>45717</v>
      </c>
      <c r="N133" s="35" t="str">
        <f aca="false">IF(G133="","Unknown",G133)</f>
        <v>Bengaluru</v>
      </c>
      <c r="O133" s="35" t="str">
        <f aca="false">IF(E133="","Unknown",IF(E133&lt;=25,"18-25",IF(E133&lt;=35,"26-35",IF(E133&lt;=45,"36-45",IF(E133&lt;=55,"46-55","56-65")))))</f>
        <v>56-65</v>
      </c>
      <c r="P133" s="35" t="n">
        <f aca="false">COUNTIF($C$2:$C$1001,C133)</f>
        <v>1</v>
      </c>
      <c r="Q133" s="35" t="n">
        <f aca="false">IF(COUNTIF($C$2:C133,C133)=1,1,0)</f>
        <v>1</v>
      </c>
    </row>
    <row r="134" customFormat="false" ht="15" hidden="false" customHeight="false" outlineLevel="0" collapsed="false">
      <c r="A134" s="35" t="s">
        <v>629</v>
      </c>
      <c r="B134" s="64" t="n">
        <v>45698</v>
      </c>
      <c r="C134" s="35" t="s">
        <v>630</v>
      </c>
      <c r="D134" s="35" t="s">
        <v>523</v>
      </c>
      <c r="E134" s="35" t="n">
        <v>34</v>
      </c>
      <c r="F134" s="35" t="s">
        <v>235</v>
      </c>
      <c r="G134" s="35" t="s">
        <v>216</v>
      </c>
      <c r="H134" s="35" t="s">
        <v>209</v>
      </c>
      <c r="I134" s="35" t="s">
        <v>200</v>
      </c>
      <c r="J134" s="35" t="n">
        <v>7</v>
      </c>
      <c r="K134" s="65" t="n">
        <v>18967.46</v>
      </c>
      <c r="L134" s="65" t="n">
        <v>132772.22</v>
      </c>
      <c r="M134" s="66" t="n">
        <f aca="false">DATE(YEAR(B134),MONTH(B134),1)</f>
        <v>45689</v>
      </c>
      <c r="N134" s="35" t="str">
        <f aca="false">IF(G134="","Unknown",G134)</f>
        <v>Patna</v>
      </c>
      <c r="O134" s="35" t="str">
        <f aca="false">IF(E134="","Unknown",IF(E134&lt;=25,"18-25",IF(E134&lt;=35,"26-35",IF(E134&lt;=45,"36-45",IF(E134&lt;=55,"46-55","56-65")))))</f>
        <v>26-35</v>
      </c>
      <c r="P134" s="35" t="n">
        <f aca="false">COUNTIF($C$2:$C$1001,C134)</f>
        <v>1</v>
      </c>
      <c r="Q134" s="35" t="n">
        <f aca="false">IF(COUNTIF($C$2:C134,C134)=1,1,0)</f>
        <v>1</v>
      </c>
    </row>
    <row r="135" customFormat="false" ht="15" hidden="false" customHeight="false" outlineLevel="0" collapsed="false">
      <c r="A135" s="35" t="s">
        <v>631</v>
      </c>
      <c r="B135" s="64" t="n">
        <v>45726</v>
      </c>
      <c r="C135" s="35" t="s">
        <v>632</v>
      </c>
      <c r="D135" s="35" t="s">
        <v>633</v>
      </c>
      <c r="E135" s="35" t="n">
        <v>45</v>
      </c>
      <c r="F135" s="35" t="s">
        <v>235</v>
      </c>
      <c r="G135" s="35" t="s">
        <v>221</v>
      </c>
      <c r="H135" s="35" t="s">
        <v>209</v>
      </c>
      <c r="I135" s="35" t="s">
        <v>200</v>
      </c>
      <c r="J135" s="35" t="n">
        <v>10</v>
      </c>
      <c r="K135" s="65" t="n">
        <v>42943.17</v>
      </c>
      <c r="L135" s="65" t="n">
        <v>429431.7</v>
      </c>
      <c r="M135" s="66" t="n">
        <f aca="false">DATE(YEAR(B135),MONTH(B135),1)</f>
        <v>45717</v>
      </c>
      <c r="N135" s="35" t="str">
        <f aca="false">IF(G135="","Unknown",G135)</f>
        <v>Delhi</v>
      </c>
      <c r="O135" s="35" t="str">
        <f aca="false">IF(E135="","Unknown",IF(E135&lt;=25,"18-25",IF(E135&lt;=35,"26-35",IF(E135&lt;=45,"36-45",IF(E135&lt;=55,"46-55","56-65")))))</f>
        <v>36-45</v>
      </c>
      <c r="P135" s="35" t="n">
        <f aca="false">COUNTIF($C$2:$C$1001,C135)</f>
        <v>1</v>
      </c>
      <c r="Q135" s="35" t="n">
        <f aca="false">IF(COUNTIF($C$2:C135,C135)=1,1,0)</f>
        <v>1</v>
      </c>
    </row>
    <row r="136" customFormat="false" ht="15" hidden="false" customHeight="false" outlineLevel="0" collapsed="false">
      <c r="A136" s="35" t="s">
        <v>634</v>
      </c>
      <c r="B136" s="64" t="n">
        <v>45737</v>
      </c>
      <c r="C136" s="35" t="s">
        <v>635</v>
      </c>
      <c r="D136" s="35" t="s">
        <v>578</v>
      </c>
      <c r="E136" s="35" t="n">
        <v>46</v>
      </c>
      <c r="F136" s="35" t="s">
        <v>234</v>
      </c>
      <c r="G136" s="35" t="s">
        <v>219</v>
      </c>
      <c r="H136" s="35" t="s">
        <v>208</v>
      </c>
      <c r="I136" s="35" t="s">
        <v>200</v>
      </c>
      <c r="J136" s="35" t="n">
        <v>6</v>
      </c>
      <c r="K136" s="65" t="n">
        <v>24216.91</v>
      </c>
      <c r="L136" s="65" t="n">
        <v>145301.46</v>
      </c>
      <c r="M136" s="66" t="n">
        <f aca="false">DATE(YEAR(B136),MONTH(B136),1)</f>
        <v>45717</v>
      </c>
      <c r="N136" s="35" t="str">
        <f aca="false">IF(G136="","Unknown",G136)</f>
        <v>Mumbai</v>
      </c>
      <c r="O136" s="35" t="str">
        <f aca="false">IF(E136="","Unknown",IF(E136&lt;=25,"18-25",IF(E136&lt;=35,"26-35",IF(E136&lt;=45,"36-45",IF(E136&lt;=55,"46-55","56-65")))))</f>
        <v>46-55</v>
      </c>
      <c r="P136" s="35" t="n">
        <f aca="false">COUNTIF($C$2:$C$1001,C136)</f>
        <v>1</v>
      </c>
      <c r="Q136" s="35" t="n">
        <f aca="false">IF(COUNTIF($C$2:C136,C136)=1,1,0)</f>
        <v>1</v>
      </c>
    </row>
    <row r="137" customFormat="false" ht="15" hidden="false" customHeight="false" outlineLevel="0" collapsed="false">
      <c r="A137" s="35" t="s">
        <v>636</v>
      </c>
      <c r="B137" s="64" t="n">
        <v>45807</v>
      </c>
      <c r="C137" s="35" t="s">
        <v>637</v>
      </c>
      <c r="D137" s="35" t="s">
        <v>638</v>
      </c>
      <c r="E137" s="35" t="n">
        <v>28</v>
      </c>
      <c r="F137" s="35" t="s">
        <v>235</v>
      </c>
      <c r="G137" s="35" t="s">
        <v>219</v>
      </c>
      <c r="H137" s="35" t="s">
        <v>212</v>
      </c>
      <c r="I137" s="35" t="s">
        <v>203</v>
      </c>
      <c r="J137" s="35" t="n">
        <v>9</v>
      </c>
      <c r="K137" s="65" t="n">
        <v>7093.9</v>
      </c>
      <c r="L137" s="65" t="n">
        <v>63845.1</v>
      </c>
      <c r="M137" s="66" t="n">
        <f aca="false">DATE(YEAR(B137),MONTH(B137),1)</f>
        <v>45778</v>
      </c>
      <c r="N137" s="35" t="str">
        <f aca="false">IF(G137="","Unknown",G137)</f>
        <v>Mumbai</v>
      </c>
      <c r="O137" s="35" t="str">
        <f aca="false">IF(E137="","Unknown",IF(E137&lt;=25,"18-25",IF(E137&lt;=35,"26-35",IF(E137&lt;=45,"36-45",IF(E137&lt;=55,"46-55","56-65")))))</f>
        <v>26-35</v>
      </c>
      <c r="P137" s="35" t="n">
        <f aca="false">COUNTIF($C$2:$C$1001,C137)</f>
        <v>1</v>
      </c>
      <c r="Q137" s="35" t="n">
        <f aca="false">IF(COUNTIF($C$2:C137,C137)=1,1,0)</f>
        <v>1</v>
      </c>
    </row>
    <row r="138" customFormat="false" ht="15" hidden="false" customHeight="false" outlineLevel="0" collapsed="false">
      <c r="A138" s="35" t="s">
        <v>639</v>
      </c>
      <c r="B138" s="64" t="n">
        <v>45988</v>
      </c>
      <c r="C138" s="35" t="s">
        <v>640</v>
      </c>
      <c r="D138" s="35" t="s">
        <v>641</v>
      </c>
      <c r="E138" s="35" t="n">
        <v>22</v>
      </c>
      <c r="F138" s="35" t="s">
        <v>235</v>
      </c>
      <c r="G138" s="35" t="s">
        <v>222</v>
      </c>
      <c r="H138" s="35" t="s">
        <v>212</v>
      </c>
      <c r="I138" s="35" t="s">
        <v>203</v>
      </c>
      <c r="J138" s="35" t="n">
        <v>5</v>
      </c>
      <c r="K138" s="65" t="n">
        <v>29748.17</v>
      </c>
      <c r="L138" s="65" t="n">
        <v>148740.85</v>
      </c>
      <c r="M138" s="66" t="n">
        <f aca="false">DATE(YEAR(B138),MONTH(B138),1)</f>
        <v>45962</v>
      </c>
      <c r="N138" s="35" t="str">
        <f aca="false">IF(G138="","Unknown",G138)</f>
        <v>Pune</v>
      </c>
      <c r="O138" s="35" t="str">
        <f aca="false">IF(E138="","Unknown",IF(E138&lt;=25,"18-25",IF(E138&lt;=35,"26-35",IF(E138&lt;=45,"36-45",IF(E138&lt;=55,"46-55","56-65")))))</f>
        <v>18-25</v>
      </c>
      <c r="P138" s="35" t="n">
        <f aca="false">COUNTIF($C$2:$C$1001,C138)</f>
        <v>1</v>
      </c>
      <c r="Q138" s="35" t="n">
        <f aca="false">IF(COUNTIF($C$2:C138,C138)=1,1,0)</f>
        <v>1</v>
      </c>
    </row>
    <row r="139" customFormat="false" ht="15" hidden="false" customHeight="false" outlineLevel="0" collapsed="false">
      <c r="A139" s="35" t="s">
        <v>642</v>
      </c>
      <c r="B139" s="64" t="n">
        <v>45918</v>
      </c>
      <c r="C139" s="35" t="s">
        <v>643</v>
      </c>
      <c r="D139" s="35" t="s">
        <v>439</v>
      </c>
      <c r="E139" s="35" t="n">
        <v>52</v>
      </c>
      <c r="F139" s="35" t="s">
        <v>234</v>
      </c>
      <c r="G139" s="35" t="s">
        <v>218</v>
      </c>
      <c r="H139" s="35" t="s">
        <v>208</v>
      </c>
      <c r="I139" s="35" t="s">
        <v>200</v>
      </c>
      <c r="J139" s="35" t="n">
        <v>8</v>
      </c>
      <c r="K139" s="65" t="n">
        <v>22563.72</v>
      </c>
      <c r="L139" s="65" t="n">
        <v>180509.76</v>
      </c>
      <c r="M139" s="66" t="n">
        <f aca="false">DATE(YEAR(B139),MONTH(B139),1)</f>
        <v>45901</v>
      </c>
      <c r="N139" s="35" t="str">
        <f aca="false">IF(G139="","Unknown",G139)</f>
        <v>Bengaluru</v>
      </c>
      <c r="O139" s="35" t="str">
        <f aca="false">IF(E139="","Unknown",IF(E139&lt;=25,"18-25",IF(E139&lt;=35,"26-35",IF(E139&lt;=45,"36-45",IF(E139&lt;=55,"46-55","56-65")))))</f>
        <v>46-55</v>
      </c>
      <c r="P139" s="35" t="n">
        <f aca="false">COUNTIF($C$2:$C$1001,C139)</f>
        <v>1</v>
      </c>
      <c r="Q139" s="35" t="n">
        <f aca="false">IF(COUNTIF($C$2:C139,C139)=1,1,0)</f>
        <v>1</v>
      </c>
    </row>
    <row r="140" customFormat="false" ht="15" hidden="false" customHeight="false" outlineLevel="0" collapsed="false">
      <c r="A140" s="35" t="s">
        <v>644</v>
      </c>
      <c r="B140" s="64" t="n">
        <v>45751</v>
      </c>
      <c r="C140" s="35" t="s">
        <v>645</v>
      </c>
      <c r="D140" s="35" t="s">
        <v>581</v>
      </c>
      <c r="E140" s="35" t="n">
        <v>18</v>
      </c>
      <c r="F140" s="35" t="s">
        <v>234</v>
      </c>
      <c r="G140" s="35" t="s">
        <v>220</v>
      </c>
      <c r="H140" s="35" t="s">
        <v>209</v>
      </c>
      <c r="I140" s="35" t="s">
        <v>200</v>
      </c>
      <c r="J140" s="35" t="n">
        <v>7</v>
      </c>
      <c r="K140" s="65" t="n">
        <v>17321.68</v>
      </c>
      <c r="L140" s="65" t="n">
        <v>121251.76</v>
      </c>
      <c r="M140" s="66" t="n">
        <f aca="false">DATE(YEAR(B140),MONTH(B140),1)</f>
        <v>45748</v>
      </c>
      <c r="N140" s="35" t="str">
        <f aca="false">IF(G140="","Unknown",G140)</f>
        <v>Hyderabad</v>
      </c>
      <c r="O140" s="35" t="str">
        <f aca="false">IF(E140="","Unknown",IF(E140&lt;=25,"18-25",IF(E140&lt;=35,"26-35",IF(E140&lt;=45,"36-45",IF(E140&lt;=55,"46-55","56-65")))))</f>
        <v>18-25</v>
      </c>
      <c r="P140" s="35" t="n">
        <f aca="false">COUNTIF($C$2:$C$1001,C140)</f>
        <v>1</v>
      </c>
      <c r="Q140" s="35" t="n">
        <f aca="false">IF(COUNTIF($C$2:C140,C140)=1,1,0)</f>
        <v>1</v>
      </c>
    </row>
    <row r="141" customFormat="false" ht="15" hidden="false" customHeight="false" outlineLevel="0" collapsed="false">
      <c r="A141" s="35" t="s">
        <v>646</v>
      </c>
      <c r="B141" s="64" t="n">
        <v>45682</v>
      </c>
      <c r="C141" s="35" t="s">
        <v>647</v>
      </c>
      <c r="D141" s="35" t="s">
        <v>648</v>
      </c>
      <c r="E141" s="35" t="n">
        <v>24</v>
      </c>
      <c r="F141" s="35" t="s">
        <v>234</v>
      </c>
      <c r="G141" s="35" t="s">
        <v>223</v>
      </c>
      <c r="H141" s="35" t="s">
        <v>208</v>
      </c>
      <c r="I141" s="35" t="s">
        <v>200</v>
      </c>
      <c r="J141" s="35" t="n">
        <v>9</v>
      </c>
      <c r="K141" s="65" t="n">
        <v>25138.42</v>
      </c>
      <c r="L141" s="65" t="n">
        <v>226245.78</v>
      </c>
      <c r="M141" s="66" t="n">
        <f aca="false">DATE(YEAR(B141),MONTH(B141),1)</f>
        <v>45658</v>
      </c>
      <c r="N141" s="35" t="str">
        <f aca="false">IF(G141="","Unknown",G141)</f>
        <v>Gaya</v>
      </c>
      <c r="O141" s="35" t="str">
        <f aca="false">IF(E141="","Unknown",IF(E141&lt;=25,"18-25",IF(E141&lt;=35,"26-35",IF(E141&lt;=45,"36-45",IF(E141&lt;=55,"46-55","56-65")))))</f>
        <v>18-25</v>
      </c>
      <c r="P141" s="35" t="n">
        <f aca="false">COUNTIF($C$2:$C$1001,C141)</f>
        <v>1</v>
      </c>
      <c r="Q141" s="35" t="n">
        <f aca="false">IF(COUNTIF($C$2:C141,C141)=1,1,0)</f>
        <v>1</v>
      </c>
    </row>
    <row r="142" customFormat="false" ht="15" hidden="false" customHeight="false" outlineLevel="0" collapsed="false">
      <c r="A142" s="35" t="s">
        <v>649</v>
      </c>
      <c r="B142" s="64" t="n">
        <v>45869</v>
      </c>
      <c r="C142" s="35" t="s">
        <v>650</v>
      </c>
      <c r="D142" s="35" t="s">
        <v>651</v>
      </c>
      <c r="E142" s="35" t="n">
        <v>54</v>
      </c>
      <c r="F142" s="35" t="s">
        <v>234</v>
      </c>
      <c r="G142" s="35" t="s">
        <v>217</v>
      </c>
      <c r="H142" s="35" t="s">
        <v>210</v>
      </c>
      <c r="I142" s="35" t="s">
        <v>201</v>
      </c>
      <c r="J142" s="35" t="n">
        <v>6</v>
      </c>
      <c r="K142" s="65" t="n">
        <v>33887.35</v>
      </c>
      <c r="L142" s="65" t="n">
        <v>203324.1</v>
      </c>
      <c r="M142" s="66" t="n">
        <f aca="false">DATE(YEAR(B142),MONTH(B142),1)</f>
        <v>45839</v>
      </c>
      <c r="N142" s="35" t="str">
        <f aca="false">IF(G142="","Unknown",G142)</f>
        <v>Kolkata</v>
      </c>
      <c r="O142" s="35" t="str">
        <f aca="false">IF(E142="","Unknown",IF(E142&lt;=25,"18-25",IF(E142&lt;=35,"26-35",IF(E142&lt;=45,"36-45",IF(E142&lt;=55,"46-55","56-65")))))</f>
        <v>46-55</v>
      </c>
      <c r="P142" s="35" t="n">
        <f aca="false">COUNTIF($C$2:$C$1001,C142)</f>
        <v>1</v>
      </c>
      <c r="Q142" s="35" t="n">
        <f aca="false">IF(COUNTIF($C$2:C142,C142)=1,1,0)</f>
        <v>1</v>
      </c>
    </row>
    <row r="143" customFormat="false" ht="15" hidden="false" customHeight="false" outlineLevel="0" collapsed="false">
      <c r="A143" s="35" t="s">
        <v>652</v>
      </c>
      <c r="B143" s="64" t="n">
        <v>45721</v>
      </c>
      <c r="C143" s="35" t="s">
        <v>653</v>
      </c>
      <c r="D143" s="35" t="s">
        <v>654</v>
      </c>
      <c r="E143" s="35" t="n">
        <v>33</v>
      </c>
      <c r="F143" s="35" t="s">
        <v>235</v>
      </c>
      <c r="G143" s="35" t="s">
        <v>223</v>
      </c>
      <c r="H143" s="35" t="s">
        <v>213</v>
      </c>
      <c r="I143" s="35" t="s">
        <v>204</v>
      </c>
      <c r="J143" s="35" t="n">
        <v>6</v>
      </c>
      <c r="K143" s="65" t="n">
        <v>30177.21</v>
      </c>
      <c r="L143" s="65" t="n">
        <v>181063.26</v>
      </c>
      <c r="M143" s="66" t="n">
        <f aca="false">DATE(YEAR(B143),MONTH(B143),1)</f>
        <v>45717</v>
      </c>
      <c r="N143" s="35" t="str">
        <f aca="false">IF(G143="","Unknown",G143)</f>
        <v>Gaya</v>
      </c>
      <c r="O143" s="35" t="str">
        <f aca="false">IF(E143="","Unknown",IF(E143&lt;=25,"18-25",IF(E143&lt;=35,"26-35",IF(E143&lt;=45,"36-45",IF(E143&lt;=55,"46-55","56-65")))))</f>
        <v>26-35</v>
      </c>
      <c r="P143" s="35" t="n">
        <f aca="false">COUNTIF($C$2:$C$1001,C143)</f>
        <v>1</v>
      </c>
      <c r="Q143" s="35" t="n">
        <f aca="false">IF(COUNTIF($C$2:C143,C143)=1,1,0)</f>
        <v>1</v>
      </c>
    </row>
    <row r="144" customFormat="false" ht="15" hidden="false" customHeight="false" outlineLevel="0" collapsed="false">
      <c r="A144" s="35" t="s">
        <v>655</v>
      </c>
      <c r="B144" s="64" t="n">
        <v>45838</v>
      </c>
      <c r="C144" s="35" t="s">
        <v>656</v>
      </c>
      <c r="D144" s="35" t="s">
        <v>657</v>
      </c>
      <c r="E144" s="35" t="n">
        <v>32</v>
      </c>
      <c r="F144" s="35" t="s">
        <v>235</v>
      </c>
      <c r="G144" s="35" t="s">
        <v>217</v>
      </c>
      <c r="H144" s="35" t="s">
        <v>209</v>
      </c>
      <c r="I144" s="35" t="s">
        <v>200</v>
      </c>
      <c r="J144" s="35" t="n">
        <v>3</v>
      </c>
      <c r="K144" s="65" t="n">
        <v>28572.4</v>
      </c>
      <c r="L144" s="65" t="n">
        <v>85717.2</v>
      </c>
      <c r="M144" s="66" t="n">
        <f aca="false">DATE(YEAR(B144),MONTH(B144),1)</f>
        <v>45809</v>
      </c>
      <c r="N144" s="35" t="str">
        <f aca="false">IF(G144="","Unknown",G144)</f>
        <v>Kolkata</v>
      </c>
      <c r="O144" s="35" t="str">
        <f aca="false">IF(E144="","Unknown",IF(E144&lt;=25,"18-25",IF(E144&lt;=35,"26-35",IF(E144&lt;=45,"36-45",IF(E144&lt;=55,"46-55","56-65")))))</f>
        <v>26-35</v>
      </c>
      <c r="P144" s="35" t="n">
        <f aca="false">COUNTIF($C$2:$C$1001,C144)</f>
        <v>1</v>
      </c>
      <c r="Q144" s="35" t="n">
        <f aca="false">IF(COUNTIF($C$2:C144,C144)=1,1,0)</f>
        <v>1</v>
      </c>
    </row>
    <row r="145" customFormat="false" ht="15" hidden="false" customHeight="false" outlineLevel="0" collapsed="false">
      <c r="A145" s="35" t="s">
        <v>658</v>
      </c>
      <c r="B145" s="64" t="n">
        <v>45997</v>
      </c>
      <c r="C145" s="35" t="s">
        <v>659</v>
      </c>
      <c r="D145" s="35" t="s">
        <v>660</v>
      </c>
      <c r="E145" s="35" t="n">
        <v>28</v>
      </c>
      <c r="F145" s="35" t="s">
        <v>234</v>
      </c>
      <c r="G145" s="35" t="s">
        <v>223</v>
      </c>
      <c r="H145" s="35" t="s">
        <v>209</v>
      </c>
      <c r="I145" s="35" t="s">
        <v>200</v>
      </c>
      <c r="J145" s="35" t="n">
        <v>4</v>
      </c>
      <c r="K145" s="65" t="n">
        <v>6898.4</v>
      </c>
      <c r="L145" s="65" t="n">
        <v>27593.6</v>
      </c>
      <c r="M145" s="66" t="n">
        <f aca="false">DATE(YEAR(B145),MONTH(B145),1)</f>
        <v>45992</v>
      </c>
      <c r="N145" s="35" t="str">
        <f aca="false">IF(G145="","Unknown",G145)</f>
        <v>Gaya</v>
      </c>
      <c r="O145" s="35" t="str">
        <f aca="false">IF(E145="","Unknown",IF(E145&lt;=25,"18-25",IF(E145&lt;=35,"26-35",IF(E145&lt;=45,"36-45",IF(E145&lt;=55,"46-55","56-65")))))</f>
        <v>26-35</v>
      </c>
      <c r="P145" s="35" t="n">
        <f aca="false">COUNTIF($C$2:$C$1001,C145)</f>
        <v>1</v>
      </c>
      <c r="Q145" s="35" t="n">
        <f aca="false">IF(COUNTIF($C$2:C145,C145)=1,1,0)</f>
        <v>1</v>
      </c>
    </row>
    <row r="146" customFormat="false" ht="15" hidden="false" customHeight="false" outlineLevel="0" collapsed="false">
      <c r="A146" s="35" t="s">
        <v>661</v>
      </c>
      <c r="B146" s="64" t="n">
        <v>45728</v>
      </c>
      <c r="C146" s="35" t="s">
        <v>662</v>
      </c>
      <c r="D146" s="35" t="s">
        <v>663</v>
      </c>
      <c r="E146" s="35" t="n">
        <v>59</v>
      </c>
      <c r="F146" s="35" t="s">
        <v>235</v>
      </c>
      <c r="G146" s="35" t="s">
        <v>223</v>
      </c>
      <c r="H146" s="35" t="s">
        <v>213</v>
      </c>
      <c r="I146" s="35" t="s">
        <v>204</v>
      </c>
      <c r="J146" s="35" t="n">
        <v>1</v>
      </c>
      <c r="K146" s="65" t="n">
        <v>20740.93</v>
      </c>
      <c r="L146" s="65" t="n">
        <v>20740.93</v>
      </c>
      <c r="M146" s="66" t="n">
        <f aca="false">DATE(YEAR(B146),MONTH(B146),1)</f>
        <v>45717</v>
      </c>
      <c r="N146" s="35" t="str">
        <f aca="false">IF(G146="","Unknown",G146)</f>
        <v>Gaya</v>
      </c>
      <c r="O146" s="35" t="str">
        <f aca="false">IF(E146="","Unknown",IF(E146&lt;=25,"18-25",IF(E146&lt;=35,"26-35",IF(E146&lt;=45,"36-45",IF(E146&lt;=55,"46-55","56-65")))))</f>
        <v>56-65</v>
      </c>
      <c r="P146" s="35" t="n">
        <f aca="false">COUNTIF($C$2:$C$1001,C146)</f>
        <v>1</v>
      </c>
      <c r="Q146" s="35" t="n">
        <f aca="false">IF(COUNTIF($C$2:C146,C146)=1,1,0)</f>
        <v>1</v>
      </c>
    </row>
    <row r="147" customFormat="false" ht="15" hidden="false" customHeight="false" outlineLevel="0" collapsed="false">
      <c r="A147" s="35" t="s">
        <v>664</v>
      </c>
      <c r="B147" s="64" t="n">
        <v>45816</v>
      </c>
      <c r="C147" s="35" t="s">
        <v>665</v>
      </c>
      <c r="D147" s="35" t="s">
        <v>666</v>
      </c>
      <c r="E147" s="35" t="n">
        <v>18</v>
      </c>
      <c r="F147" s="35" t="s">
        <v>234</v>
      </c>
      <c r="G147" s="35" t="s">
        <v>218</v>
      </c>
      <c r="H147" s="35" t="s">
        <v>208</v>
      </c>
      <c r="I147" s="35" t="s">
        <v>200</v>
      </c>
      <c r="J147" s="35" t="n">
        <v>3</v>
      </c>
      <c r="K147" s="65" t="n">
        <v>37576.35</v>
      </c>
      <c r="L147" s="65" t="n">
        <v>112729.05</v>
      </c>
      <c r="M147" s="66" t="n">
        <f aca="false">DATE(YEAR(B147),MONTH(B147),1)</f>
        <v>45809</v>
      </c>
      <c r="N147" s="35" t="str">
        <f aca="false">IF(G147="","Unknown",G147)</f>
        <v>Bengaluru</v>
      </c>
      <c r="O147" s="35" t="str">
        <f aca="false">IF(E147="","Unknown",IF(E147&lt;=25,"18-25",IF(E147&lt;=35,"26-35",IF(E147&lt;=45,"36-45",IF(E147&lt;=55,"46-55","56-65")))))</f>
        <v>18-25</v>
      </c>
      <c r="P147" s="35" t="n">
        <f aca="false">COUNTIF($C$2:$C$1001,C147)</f>
        <v>1</v>
      </c>
      <c r="Q147" s="35" t="n">
        <f aca="false">IF(COUNTIF($C$2:C147,C147)=1,1,0)</f>
        <v>1</v>
      </c>
    </row>
    <row r="148" customFormat="false" ht="15" hidden="false" customHeight="false" outlineLevel="0" collapsed="false">
      <c r="A148" s="35" t="s">
        <v>667</v>
      </c>
      <c r="B148" s="64" t="n">
        <v>45845</v>
      </c>
      <c r="C148" s="35" t="s">
        <v>668</v>
      </c>
      <c r="D148" s="35" t="s">
        <v>669</v>
      </c>
      <c r="E148" s="35" t="n">
        <v>51</v>
      </c>
      <c r="F148" s="35" t="s">
        <v>235</v>
      </c>
      <c r="G148" s="35" t="s">
        <v>221</v>
      </c>
      <c r="H148" s="35" t="s">
        <v>209</v>
      </c>
      <c r="I148" s="35" t="s">
        <v>200</v>
      </c>
      <c r="J148" s="35" t="n">
        <v>6</v>
      </c>
      <c r="K148" s="65" t="n">
        <v>20416.04</v>
      </c>
      <c r="L148" s="65" t="n">
        <v>122496.24</v>
      </c>
      <c r="M148" s="66" t="n">
        <f aca="false">DATE(YEAR(B148),MONTH(B148),1)</f>
        <v>45839</v>
      </c>
      <c r="N148" s="35" t="str">
        <f aca="false">IF(G148="","Unknown",G148)</f>
        <v>Delhi</v>
      </c>
      <c r="O148" s="35" t="str">
        <f aca="false">IF(E148="","Unknown",IF(E148&lt;=25,"18-25",IF(E148&lt;=35,"26-35",IF(E148&lt;=45,"36-45",IF(E148&lt;=55,"46-55","56-65")))))</f>
        <v>46-55</v>
      </c>
      <c r="P148" s="35" t="n">
        <f aca="false">COUNTIF($C$2:$C$1001,C148)</f>
        <v>1</v>
      </c>
      <c r="Q148" s="35" t="n">
        <f aca="false">IF(COUNTIF($C$2:C148,C148)=1,1,0)</f>
        <v>1</v>
      </c>
    </row>
    <row r="149" customFormat="false" ht="15" hidden="false" customHeight="false" outlineLevel="0" collapsed="false">
      <c r="A149" s="35" t="s">
        <v>670</v>
      </c>
      <c r="B149" s="64" t="n">
        <v>45917</v>
      </c>
      <c r="C149" s="35" t="s">
        <v>671</v>
      </c>
      <c r="D149" s="35" t="s">
        <v>491</v>
      </c>
      <c r="E149" s="35" t="n">
        <v>64</v>
      </c>
      <c r="F149" s="35" t="s">
        <v>234</v>
      </c>
      <c r="G149" s="35" t="s">
        <v>218</v>
      </c>
      <c r="H149" s="35" t="s">
        <v>212</v>
      </c>
      <c r="I149" s="35" t="s">
        <v>203</v>
      </c>
      <c r="J149" s="35" t="n">
        <v>2</v>
      </c>
      <c r="K149" s="65" t="n">
        <v>8092.78</v>
      </c>
      <c r="L149" s="65" t="n">
        <v>16185.56</v>
      </c>
      <c r="M149" s="66" t="n">
        <f aca="false">DATE(YEAR(B149),MONTH(B149),1)</f>
        <v>45901</v>
      </c>
      <c r="N149" s="35" t="str">
        <f aca="false">IF(G149="","Unknown",G149)</f>
        <v>Bengaluru</v>
      </c>
      <c r="O149" s="35" t="str">
        <f aca="false">IF(E149="","Unknown",IF(E149&lt;=25,"18-25",IF(E149&lt;=35,"26-35",IF(E149&lt;=45,"36-45",IF(E149&lt;=55,"46-55","56-65")))))</f>
        <v>56-65</v>
      </c>
      <c r="P149" s="35" t="n">
        <f aca="false">COUNTIF($C$2:$C$1001,C149)</f>
        <v>1</v>
      </c>
      <c r="Q149" s="35" t="n">
        <f aca="false">IF(COUNTIF($C$2:C149,C149)=1,1,0)</f>
        <v>1</v>
      </c>
    </row>
    <row r="150" customFormat="false" ht="15" hidden="false" customHeight="false" outlineLevel="0" collapsed="false">
      <c r="A150" s="35" t="s">
        <v>672</v>
      </c>
      <c r="B150" s="64" t="n">
        <v>45748</v>
      </c>
      <c r="C150" s="35" t="s">
        <v>673</v>
      </c>
      <c r="D150" s="35" t="s">
        <v>674</v>
      </c>
      <c r="E150" s="35"/>
      <c r="F150" s="35" t="s">
        <v>235</v>
      </c>
      <c r="G150" s="35"/>
      <c r="H150" s="35" t="s">
        <v>212</v>
      </c>
      <c r="I150" s="35" t="s">
        <v>203</v>
      </c>
      <c r="J150" s="35" t="n">
        <v>4</v>
      </c>
      <c r="K150" s="65" t="n">
        <v>1973.64</v>
      </c>
      <c r="L150" s="65" t="n">
        <v>7894.56</v>
      </c>
      <c r="M150" s="66" t="n">
        <f aca="false">DATE(YEAR(B150),MONTH(B150),1)</f>
        <v>45748</v>
      </c>
      <c r="N150" s="35" t="str">
        <f aca="false">IF(G150="","Unknown",G150)</f>
        <v>Unknown</v>
      </c>
      <c r="O150" s="35" t="str">
        <f aca="false">IF(E150="","Unknown",IF(E150&lt;=25,"18-25",IF(E150&lt;=35,"26-35",IF(E150&lt;=45,"36-45",IF(E150&lt;=55,"46-55","56-65")))))</f>
        <v>Unknown</v>
      </c>
      <c r="P150" s="35" t="n">
        <f aca="false">COUNTIF($C$2:$C$1001,C150)</f>
        <v>1</v>
      </c>
      <c r="Q150" s="35" t="n">
        <f aca="false">IF(COUNTIF($C$2:C150,C150)=1,1,0)</f>
        <v>1</v>
      </c>
    </row>
    <row r="151" customFormat="false" ht="15" hidden="false" customHeight="false" outlineLevel="0" collapsed="false">
      <c r="A151" s="35" t="s">
        <v>675</v>
      </c>
      <c r="B151" s="64" t="n">
        <v>45913</v>
      </c>
      <c r="C151" s="35" t="s">
        <v>676</v>
      </c>
      <c r="D151" s="35" t="s">
        <v>677</v>
      </c>
      <c r="E151" s="35" t="n">
        <v>19</v>
      </c>
      <c r="F151" s="35" t="s">
        <v>235</v>
      </c>
      <c r="G151" s="35" t="s">
        <v>219</v>
      </c>
      <c r="H151" s="35" t="s">
        <v>213</v>
      </c>
      <c r="I151" s="35" t="s">
        <v>204</v>
      </c>
      <c r="J151" s="35" t="n">
        <v>8</v>
      </c>
      <c r="K151" s="65" t="n">
        <v>41749.55</v>
      </c>
      <c r="L151" s="65" t="n">
        <v>333996.4</v>
      </c>
      <c r="M151" s="66" t="n">
        <f aca="false">DATE(YEAR(B151),MONTH(B151),1)</f>
        <v>45901</v>
      </c>
      <c r="N151" s="35" t="str">
        <f aca="false">IF(G151="","Unknown",G151)</f>
        <v>Mumbai</v>
      </c>
      <c r="O151" s="35" t="str">
        <f aca="false">IF(E151="","Unknown",IF(E151&lt;=25,"18-25",IF(E151&lt;=35,"26-35",IF(E151&lt;=45,"36-45",IF(E151&lt;=55,"46-55","56-65")))))</f>
        <v>18-25</v>
      </c>
      <c r="P151" s="35" t="n">
        <f aca="false">COUNTIF($C$2:$C$1001,C151)</f>
        <v>1</v>
      </c>
      <c r="Q151" s="35" t="n">
        <f aca="false">IF(COUNTIF($C$2:C151,C151)=1,1,0)</f>
        <v>1</v>
      </c>
    </row>
    <row r="152" customFormat="false" ht="15" hidden="false" customHeight="false" outlineLevel="0" collapsed="false">
      <c r="A152" s="35" t="s">
        <v>678</v>
      </c>
      <c r="B152" s="64" t="n">
        <v>45696</v>
      </c>
      <c r="C152" s="35" t="s">
        <v>679</v>
      </c>
      <c r="D152" s="35" t="s">
        <v>680</v>
      </c>
      <c r="E152" s="35" t="n">
        <v>53</v>
      </c>
      <c r="F152" s="35" t="s">
        <v>234</v>
      </c>
      <c r="G152" s="35" t="s">
        <v>223</v>
      </c>
      <c r="H152" s="35" t="s">
        <v>208</v>
      </c>
      <c r="I152" s="35" t="s">
        <v>200</v>
      </c>
      <c r="J152" s="35" t="n">
        <v>9</v>
      </c>
      <c r="K152" s="65" t="n">
        <v>48833.27</v>
      </c>
      <c r="L152" s="65" t="n">
        <v>439499.43</v>
      </c>
      <c r="M152" s="66" t="n">
        <f aca="false">DATE(YEAR(B152),MONTH(B152),1)</f>
        <v>45689</v>
      </c>
      <c r="N152" s="35" t="str">
        <f aca="false">IF(G152="","Unknown",G152)</f>
        <v>Gaya</v>
      </c>
      <c r="O152" s="35" t="str">
        <f aca="false">IF(E152="","Unknown",IF(E152&lt;=25,"18-25",IF(E152&lt;=35,"26-35",IF(E152&lt;=45,"36-45",IF(E152&lt;=55,"46-55","56-65")))))</f>
        <v>46-55</v>
      </c>
      <c r="P152" s="35" t="n">
        <f aca="false">COUNTIF($C$2:$C$1001,C152)</f>
        <v>1</v>
      </c>
      <c r="Q152" s="35" t="n">
        <f aca="false">IF(COUNTIF($C$2:C152,C152)=1,1,0)</f>
        <v>1</v>
      </c>
    </row>
    <row r="153" customFormat="false" ht="15" hidden="false" customHeight="false" outlineLevel="0" collapsed="false">
      <c r="A153" s="35" t="s">
        <v>681</v>
      </c>
      <c r="B153" s="64" t="n">
        <v>45834</v>
      </c>
      <c r="C153" s="35" t="s">
        <v>682</v>
      </c>
      <c r="D153" s="35" t="s">
        <v>683</v>
      </c>
      <c r="E153" s="35" t="n">
        <v>30</v>
      </c>
      <c r="F153" s="35" t="s">
        <v>235</v>
      </c>
      <c r="G153" s="35" t="s">
        <v>219</v>
      </c>
      <c r="H153" s="35" t="s">
        <v>209</v>
      </c>
      <c r="I153" s="35" t="s">
        <v>200</v>
      </c>
      <c r="J153" s="35" t="n">
        <v>7</v>
      </c>
      <c r="K153" s="65" t="n">
        <v>48642.53</v>
      </c>
      <c r="L153" s="65" t="n">
        <v>340497.71</v>
      </c>
      <c r="M153" s="66" t="n">
        <f aca="false">DATE(YEAR(B153),MONTH(B153),1)</f>
        <v>45809</v>
      </c>
      <c r="N153" s="35" t="str">
        <f aca="false">IF(G153="","Unknown",G153)</f>
        <v>Mumbai</v>
      </c>
      <c r="O153" s="35" t="str">
        <f aca="false">IF(E153="","Unknown",IF(E153&lt;=25,"18-25",IF(E153&lt;=35,"26-35",IF(E153&lt;=45,"36-45",IF(E153&lt;=55,"46-55","56-65")))))</f>
        <v>26-35</v>
      </c>
      <c r="P153" s="35" t="n">
        <f aca="false">COUNTIF($C$2:$C$1001,C153)</f>
        <v>1</v>
      </c>
      <c r="Q153" s="35" t="n">
        <f aca="false">IF(COUNTIF($C$2:C153,C153)=1,1,0)</f>
        <v>1</v>
      </c>
    </row>
    <row r="154" customFormat="false" ht="15" hidden="false" customHeight="false" outlineLevel="0" collapsed="false">
      <c r="A154" s="35" t="s">
        <v>684</v>
      </c>
      <c r="B154" s="64" t="n">
        <v>45956</v>
      </c>
      <c r="C154" s="35" t="s">
        <v>685</v>
      </c>
      <c r="D154" s="35" t="s">
        <v>686</v>
      </c>
      <c r="E154" s="35" t="n">
        <v>56</v>
      </c>
      <c r="F154" s="35" t="s">
        <v>235</v>
      </c>
      <c r="G154" s="35" t="s">
        <v>219</v>
      </c>
      <c r="H154" s="35" t="s">
        <v>208</v>
      </c>
      <c r="I154" s="35" t="s">
        <v>200</v>
      </c>
      <c r="J154" s="35" t="n">
        <v>4</v>
      </c>
      <c r="K154" s="65" t="n">
        <v>42299.16</v>
      </c>
      <c r="L154" s="65" t="n">
        <v>169196.64</v>
      </c>
      <c r="M154" s="66" t="n">
        <f aca="false">DATE(YEAR(B154),MONTH(B154),1)</f>
        <v>45931</v>
      </c>
      <c r="N154" s="35" t="str">
        <f aca="false">IF(G154="","Unknown",G154)</f>
        <v>Mumbai</v>
      </c>
      <c r="O154" s="35" t="str">
        <f aca="false">IF(E154="","Unknown",IF(E154&lt;=25,"18-25",IF(E154&lt;=35,"26-35",IF(E154&lt;=45,"36-45",IF(E154&lt;=55,"46-55","56-65")))))</f>
        <v>56-65</v>
      </c>
      <c r="P154" s="35" t="n">
        <f aca="false">COUNTIF($C$2:$C$1001,C154)</f>
        <v>1</v>
      </c>
      <c r="Q154" s="35" t="n">
        <f aca="false">IF(COUNTIF($C$2:C154,C154)=1,1,0)</f>
        <v>1</v>
      </c>
    </row>
    <row r="155" customFormat="false" ht="15" hidden="false" customHeight="false" outlineLevel="0" collapsed="false">
      <c r="A155" s="35" t="s">
        <v>687</v>
      </c>
      <c r="B155" s="64" t="n">
        <v>45734</v>
      </c>
      <c r="C155" s="35" t="s">
        <v>688</v>
      </c>
      <c r="D155" s="35" t="s">
        <v>689</v>
      </c>
      <c r="E155" s="35" t="n">
        <v>53</v>
      </c>
      <c r="F155" s="35" t="s">
        <v>235</v>
      </c>
      <c r="G155" s="35" t="s">
        <v>216</v>
      </c>
      <c r="H155" s="35" t="s">
        <v>210</v>
      </c>
      <c r="I155" s="35" t="s">
        <v>201</v>
      </c>
      <c r="J155" s="35" t="n">
        <v>5</v>
      </c>
      <c r="K155" s="65" t="n">
        <v>38233.51</v>
      </c>
      <c r="L155" s="65" t="n">
        <v>191167.55</v>
      </c>
      <c r="M155" s="66" t="n">
        <f aca="false">DATE(YEAR(B155),MONTH(B155),1)</f>
        <v>45717</v>
      </c>
      <c r="N155" s="35" t="str">
        <f aca="false">IF(G155="","Unknown",G155)</f>
        <v>Patna</v>
      </c>
      <c r="O155" s="35" t="str">
        <f aca="false">IF(E155="","Unknown",IF(E155&lt;=25,"18-25",IF(E155&lt;=35,"26-35",IF(E155&lt;=45,"36-45",IF(E155&lt;=55,"46-55","56-65")))))</f>
        <v>46-55</v>
      </c>
      <c r="P155" s="35" t="n">
        <f aca="false">COUNTIF($C$2:$C$1001,C155)</f>
        <v>1</v>
      </c>
      <c r="Q155" s="35" t="n">
        <f aca="false">IF(COUNTIF($C$2:C155,C155)=1,1,0)</f>
        <v>1</v>
      </c>
    </row>
    <row r="156" customFormat="false" ht="15" hidden="false" customHeight="false" outlineLevel="0" collapsed="false">
      <c r="A156" s="35" t="s">
        <v>690</v>
      </c>
      <c r="B156" s="64" t="n">
        <v>45860</v>
      </c>
      <c r="C156" s="35" t="s">
        <v>691</v>
      </c>
      <c r="D156" s="35" t="s">
        <v>320</v>
      </c>
      <c r="E156" s="35" t="n">
        <v>64</v>
      </c>
      <c r="F156" s="35" t="s">
        <v>234</v>
      </c>
      <c r="G156" s="35" t="s">
        <v>222</v>
      </c>
      <c r="H156" s="35" t="s">
        <v>209</v>
      </c>
      <c r="I156" s="35" t="s">
        <v>200</v>
      </c>
      <c r="J156" s="35" t="n">
        <v>4</v>
      </c>
      <c r="K156" s="65" t="n">
        <v>6502.53</v>
      </c>
      <c r="L156" s="65" t="n">
        <v>26010.12</v>
      </c>
      <c r="M156" s="66" t="n">
        <f aca="false">DATE(YEAR(B156),MONTH(B156),1)</f>
        <v>45839</v>
      </c>
      <c r="N156" s="35" t="str">
        <f aca="false">IF(G156="","Unknown",G156)</f>
        <v>Pune</v>
      </c>
      <c r="O156" s="35" t="str">
        <f aca="false">IF(E156="","Unknown",IF(E156&lt;=25,"18-25",IF(E156&lt;=35,"26-35",IF(E156&lt;=45,"36-45",IF(E156&lt;=55,"46-55","56-65")))))</f>
        <v>56-65</v>
      </c>
      <c r="P156" s="35" t="n">
        <f aca="false">COUNTIF($C$2:$C$1001,C156)</f>
        <v>1</v>
      </c>
      <c r="Q156" s="35" t="n">
        <f aca="false">IF(COUNTIF($C$2:C156,C156)=1,1,0)</f>
        <v>1</v>
      </c>
    </row>
    <row r="157" customFormat="false" ht="15" hidden="false" customHeight="false" outlineLevel="0" collapsed="false">
      <c r="A157" s="35" t="s">
        <v>692</v>
      </c>
      <c r="B157" s="64" t="n">
        <v>45727</v>
      </c>
      <c r="C157" s="35" t="s">
        <v>693</v>
      </c>
      <c r="D157" s="35" t="s">
        <v>480</v>
      </c>
      <c r="E157" s="35" t="n">
        <v>60</v>
      </c>
      <c r="F157" s="35" t="s">
        <v>234</v>
      </c>
      <c r="G157" s="35" t="s">
        <v>218</v>
      </c>
      <c r="H157" s="35" t="s">
        <v>210</v>
      </c>
      <c r="I157" s="35" t="s">
        <v>201</v>
      </c>
      <c r="J157" s="35" t="n">
        <v>2</v>
      </c>
      <c r="K157" s="65" t="n">
        <v>18293.96</v>
      </c>
      <c r="L157" s="65" t="n">
        <v>36587.92</v>
      </c>
      <c r="M157" s="66" t="n">
        <f aca="false">DATE(YEAR(B157),MONTH(B157),1)</f>
        <v>45717</v>
      </c>
      <c r="N157" s="35" t="str">
        <f aca="false">IF(G157="","Unknown",G157)</f>
        <v>Bengaluru</v>
      </c>
      <c r="O157" s="35" t="str">
        <f aca="false">IF(E157="","Unknown",IF(E157&lt;=25,"18-25",IF(E157&lt;=35,"26-35",IF(E157&lt;=45,"36-45",IF(E157&lt;=55,"46-55","56-65")))))</f>
        <v>56-65</v>
      </c>
      <c r="P157" s="35" t="n">
        <f aca="false">COUNTIF($C$2:$C$1001,C157)</f>
        <v>1</v>
      </c>
      <c r="Q157" s="35" t="n">
        <f aca="false">IF(COUNTIF($C$2:C157,C157)=1,1,0)</f>
        <v>1</v>
      </c>
    </row>
    <row r="158" customFormat="false" ht="15" hidden="false" customHeight="false" outlineLevel="0" collapsed="false">
      <c r="A158" s="35" t="s">
        <v>694</v>
      </c>
      <c r="B158" s="64" t="n">
        <v>45900</v>
      </c>
      <c r="C158" s="35" t="s">
        <v>695</v>
      </c>
      <c r="D158" s="35" t="s">
        <v>696</v>
      </c>
      <c r="E158" s="35" t="n">
        <v>36</v>
      </c>
      <c r="F158" s="35" t="s">
        <v>234</v>
      </c>
      <c r="G158" s="35" t="s">
        <v>223</v>
      </c>
      <c r="H158" s="35" t="s">
        <v>209</v>
      </c>
      <c r="I158" s="35" t="s">
        <v>200</v>
      </c>
      <c r="J158" s="35" t="n">
        <v>2</v>
      </c>
      <c r="K158" s="65" t="n">
        <v>40810.01</v>
      </c>
      <c r="L158" s="65" t="n">
        <v>81620.02</v>
      </c>
      <c r="M158" s="66" t="n">
        <f aca="false">DATE(YEAR(B158),MONTH(B158),1)</f>
        <v>45870</v>
      </c>
      <c r="N158" s="35" t="str">
        <f aca="false">IF(G158="","Unknown",G158)</f>
        <v>Gaya</v>
      </c>
      <c r="O158" s="35" t="str">
        <f aca="false">IF(E158="","Unknown",IF(E158&lt;=25,"18-25",IF(E158&lt;=35,"26-35",IF(E158&lt;=45,"36-45",IF(E158&lt;=55,"46-55","56-65")))))</f>
        <v>36-45</v>
      </c>
      <c r="P158" s="35" t="n">
        <f aca="false">COUNTIF($C$2:$C$1001,C158)</f>
        <v>2</v>
      </c>
      <c r="Q158" s="35" t="n">
        <f aca="false">IF(COUNTIF($C$2:C158,C158)=1,1,0)</f>
        <v>1</v>
      </c>
    </row>
    <row r="159" customFormat="false" ht="15" hidden="false" customHeight="false" outlineLevel="0" collapsed="false">
      <c r="A159" s="35" t="s">
        <v>697</v>
      </c>
      <c r="B159" s="64" t="n">
        <v>45704</v>
      </c>
      <c r="C159" s="35" t="s">
        <v>698</v>
      </c>
      <c r="D159" s="35" t="s">
        <v>657</v>
      </c>
      <c r="E159" s="35" t="n">
        <v>30</v>
      </c>
      <c r="F159" s="35" t="s">
        <v>235</v>
      </c>
      <c r="G159" s="35" t="s">
        <v>217</v>
      </c>
      <c r="H159" s="35" t="s">
        <v>209</v>
      </c>
      <c r="I159" s="35" t="s">
        <v>200</v>
      </c>
      <c r="J159" s="35" t="n">
        <v>7</v>
      </c>
      <c r="K159" s="65" t="n">
        <v>28469</v>
      </c>
      <c r="L159" s="65" t="n">
        <v>199283</v>
      </c>
      <c r="M159" s="66" t="n">
        <f aca="false">DATE(YEAR(B159),MONTH(B159),1)</f>
        <v>45689</v>
      </c>
      <c r="N159" s="35" t="str">
        <f aca="false">IF(G159="","Unknown",G159)</f>
        <v>Kolkata</v>
      </c>
      <c r="O159" s="35" t="str">
        <f aca="false">IF(E159="","Unknown",IF(E159&lt;=25,"18-25",IF(E159&lt;=35,"26-35",IF(E159&lt;=45,"36-45",IF(E159&lt;=55,"46-55","56-65")))))</f>
        <v>26-35</v>
      </c>
      <c r="P159" s="35" t="n">
        <f aca="false">COUNTIF($C$2:$C$1001,C159)</f>
        <v>1</v>
      </c>
      <c r="Q159" s="35" t="n">
        <f aca="false">IF(COUNTIF($C$2:C159,C159)=1,1,0)</f>
        <v>1</v>
      </c>
    </row>
    <row r="160" customFormat="false" ht="15" hidden="false" customHeight="false" outlineLevel="0" collapsed="false">
      <c r="A160" s="35" t="s">
        <v>699</v>
      </c>
      <c r="B160" s="64" t="n">
        <v>45920</v>
      </c>
      <c r="C160" s="35" t="s">
        <v>700</v>
      </c>
      <c r="D160" s="35" t="s">
        <v>701</v>
      </c>
      <c r="E160" s="35" t="n">
        <v>55</v>
      </c>
      <c r="F160" s="35" t="s">
        <v>234</v>
      </c>
      <c r="G160" s="35" t="s">
        <v>220</v>
      </c>
      <c r="H160" s="35" t="s">
        <v>212</v>
      </c>
      <c r="I160" s="35" t="s">
        <v>203</v>
      </c>
      <c r="J160" s="35" t="n">
        <v>10</v>
      </c>
      <c r="K160" s="65" t="n">
        <v>1085.13</v>
      </c>
      <c r="L160" s="65" t="n">
        <v>10851.3</v>
      </c>
      <c r="M160" s="66" t="n">
        <f aca="false">DATE(YEAR(B160),MONTH(B160),1)</f>
        <v>45901</v>
      </c>
      <c r="N160" s="35" t="str">
        <f aca="false">IF(G160="","Unknown",G160)</f>
        <v>Hyderabad</v>
      </c>
      <c r="O160" s="35" t="str">
        <f aca="false">IF(E160="","Unknown",IF(E160&lt;=25,"18-25",IF(E160&lt;=35,"26-35",IF(E160&lt;=45,"36-45",IF(E160&lt;=55,"46-55","56-65")))))</f>
        <v>46-55</v>
      </c>
      <c r="P160" s="35" t="n">
        <f aca="false">COUNTIF($C$2:$C$1001,C160)</f>
        <v>1</v>
      </c>
      <c r="Q160" s="35" t="n">
        <f aca="false">IF(COUNTIF($C$2:C160,C160)=1,1,0)</f>
        <v>1</v>
      </c>
    </row>
    <row r="161" customFormat="false" ht="15" hidden="false" customHeight="false" outlineLevel="0" collapsed="false">
      <c r="A161" s="35" t="s">
        <v>702</v>
      </c>
      <c r="B161" s="64" t="n">
        <v>45952</v>
      </c>
      <c r="C161" s="35" t="s">
        <v>703</v>
      </c>
      <c r="D161" s="35" t="s">
        <v>704</v>
      </c>
      <c r="E161" s="35" t="n">
        <v>65</v>
      </c>
      <c r="F161" s="35" t="s">
        <v>234</v>
      </c>
      <c r="G161" s="35" t="s">
        <v>218</v>
      </c>
      <c r="H161" s="35" t="s">
        <v>211</v>
      </c>
      <c r="I161" s="35" t="s">
        <v>202</v>
      </c>
      <c r="J161" s="35" t="n">
        <v>3</v>
      </c>
      <c r="K161" s="65" t="n">
        <v>145.78</v>
      </c>
      <c r="L161" s="65" t="n">
        <v>437.34</v>
      </c>
      <c r="M161" s="66" t="n">
        <f aca="false">DATE(YEAR(B161),MONTH(B161),1)</f>
        <v>45931</v>
      </c>
      <c r="N161" s="35" t="str">
        <f aca="false">IF(G161="","Unknown",G161)</f>
        <v>Bengaluru</v>
      </c>
      <c r="O161" s="35" t="str">
        <f aca="false">IF(E161="","Unknown",IF(E161&lt;=25,"18-25",IF(E161&lt;=35,"26-35",IF(E161&lt;=45,"36-45",IF(E161&lt;=55,"46-55","56-65")))))</f>
        <v>56-65</v>
      </c>
      <c r="P161" s="35" t="n">
        <f aca="false">COUNTIF($C$2:$C$1001,C161)</f>
        <v>1</v>
      </c>
      <c r="Q161" s="35" t="n">
        <f aca="false">IF(COUNTIF($C$2:C161,C161)=1,1,0)</f>
        <v>1</v>
      </c>
    </row>
    <row r="162" customFormat="false" ht="15" hidden="false" customHeight="false" outlineLevel="0" collapsed="false">
      <c r="A162" s="35" t="s">
        <v>705</v>
      </c>
      <c r="B162" s="64" t="n">
        <v>45811</v>
      </c>
      <c r="C162" s="35" t="s">
        <v>706</v>
      </c>
      <c r="D162" s="35" t="s">
        <v>707</v>
      </c>
      <c r="E162" s="35" t="n">
        <v>27</v>
      </c>
      <c r="F162" s="35" t="s">
        <v>235</v>
      </c>
      <c r="G162" s="35" t="s">
        <v>217</v>
      </c>
      <c r="H162" s="35" t="s">
        <v>209</v>
      </c>
      <c r="I162" s="35" t="s">
        <v>200</v>
      </c>
      <c r="J162" s="35" t="n">
        <v>9</v>
      </c>
      <c r="K162" s="65" t="n">
        <v>22636.01</v>
      </c>
      <c r="L162" s="65" t="n">
        <v>203724.09</v>
      </c>
      <c r="M162" s="66" t="n">
        <f aca="false">DATE(YEAR(B162),MONTH(B162),1)</f>
        <v>45809</v>
      </c>
      <c r="N162" s="35" t="str">
        <f aca="false">IF(G162="","Unknown",G162)</f>
        <v>Kolkata</v>
      </c>
      <c r="O162" s="35" t="str">
        <f aca="false">IF(E162="","Unknown",IF(E162&lt;=25,"18-25",IF(E162&lt;=35,"26-35",IF(E162&lt;=45,"36-45",IF(E162&lt;=55,"46-55","56-65")))))</f>
        <v>26-35</v>
      </c>
      <c r="P162" s="35" t="n">
        <f aca="false">COUNTIF($C$2:$C$1001,C162)</f>
        <v>1</v>
      </c>
      <c r="Q162" s="35" t="n">
        <f aca="false">IF(COUNTIF($C$2:C162,C162)=1,1,0)</f>
        <v>1</v>
      </c>
    </row>
    <row r="163" customFormat="false" ht="15" hidden="false" customHeight="false" outlineLevel="0" collapsed="false">
      <c r="A163" s="35" t="s">
        <v>708</v>
      </c>
      <c r="B163" s="64" t="n">
        <v>45965</v>
      </c>
      <c r="C163" s="35" t="s">
        <v>709</v>
      </c>
      <c r="D163" s="35" t="s">
        <v>710</v>
      </c>
      <c r="E163" s="35" t="n">
        <v>57</v>
      </c>
      <c r="F163" s="35" t="s">
        <v>234</v>
      </c>
      <c r="G163" s="35" t="s">
        <v>219</v>
      </c>
      <c r="H163" s="35" t="s">
        <v>210</v>
      </c>
      <c r="I163" s="35" t="s">
        <v>201</v>
      </c>
      <c r="J163" s="35" t="n">
        <v>6</v>
      </c>
      <c r="K163" s="65" t="n">
        <v>39830.65</v>
      </c>
      <c r="L163" s="65" t="n">
        <v>238983.9</v>
      </c>
      <c r="M163" s="66" t="n">
        <f aca="false">DATE(YEAR(B163),MONTH(B163),1)</f>
        <v>45962</v>
      </c>
      <c r="N163" s="35" t="str">
        <f aca="false">IF(G163="","Unknown",G163)</f>
        <v>Mumbai</v>
      </c>
      <c r="O163" s="35" t="str">
        <f aca="false">IF(E163="","Unknown",IF(E163&lt;=25,"18-25",IF(E163&lt;=35,"26-35",IF(E163&lt;=45,"36-45",IF(E163&lt;=55,"46-55","56-65")))))</f>
        <v>56-65</v>
      </c>
      <c r="P163" s="35" t="n">
        <f aca="false">COUNTIF($C$2:$C$1001,C163)</f>
        <v>1</v>
      </c>
      <c r="Q163" s="35" t="n">
        <f aca="false">IF(COUNTIF($C$2:C163,C163)=1,1,0)</f>
        <v>1</v>
      </c>
    </row>
    <row r="164" customFormat="false" ht="15" hidden="false" customHeight="false" outlineLevel="0" collapsed="false">
      <c r="A164" s="35" t="s">
        <v>711</v>
      </c>
      <c r="B164" s="64" t="n">
        <v>45664</v>
      </c>
      <c r="C164" s="35" t="s">
        <v>712</v>
      </c>
      <c r="D164" s="35" t="s">
        <v>713</v>
      </c>
      <c r="E164" s="35" t="n">
        <v>61</v>
      </c>
      <c r="F164" s="35" t="s">
        <v>234</v>
      </c>
      <c r="G164" s="35" t="s">
        <v>218</v>
      </c>
      <c r="H164" s="35" t="s">
        <v>209</v>
      </c>
      <c r="I164" s="35" t="s">
        <v>200</v>
      </c>
      <c r="J164" s="35" t="n">
        <v>10</v>
      </c>
      <c r="K164" s="65" t="n">
        <v>41054.72</v>
      </c>
      <c r="L164" s="65" t="n">
        <v>410547.2</v>
      </c>
      <c r="M164" s="66" t="n">
        <f aca="false">DATE(YEAR(B164),MONTH(B164),1)</f>
        <v>45658</v>
      </c>
      <c r="N164" s="35" t="str">
        <f aca="false">IF(G164="","Unknown",G164)</f>
        <v>Bengaluru</v>
      </c>
      <c r="O164" s="35" t="str">
        <f aca="false">IF(E164="","Unknown",IF(E164&lt;=25,"18-25",IF(E164&lt;=35,"26-35",IF(E164&lt;=45,"36-45",IF(E164&lt;=55,"46-55","56-65")))))</f>
        <v>56-65</v>
      </c>
      <c r="P164" s="35" t="n">
        <f aca="false">COUNTIF($C$2:$C$1001,C164)</f>
        <v>1</v>
      </c>
      <c r="Q164" s="35" t="n">
        <f aca="false">IF(COUNTIF($C$2:C164,C164)=1,1,0)</f>
        <v>1</v>
      </c>
    </row>
    <row r="165" customFormat="false" ht="15" hidden="false" customHeight="false" outlineLevel="0" collapsed="false">
      <c r="A165" s="35" t="s">
        <v>714</v>
      </c>
      <c r="B165" s="64" t="n">
        <v>46023</v>
      </c>
      <c r="C165" s="35" t="s">
        <v>715</v>
      </c>
      <c r="D165" s="35" t="s">
        <v>716</v>
      </c>
      <c r="E165" s="35" t="n">
        <v>41</v>
      </c>
      <c r="F165" s="35" t="s">
        <v>235</v>
      </c>
      <c r="G165" s="35" t="s">
        <v>220</v>
      </c>
      <c r="H165" s="35" t="s">
        <v>211</v>
      </c>
      <c r="I165" s="35" t="s">
        <v>202</v>
      </c>
      <c r="J165" s="35" t="n">
        <v>4</v>
      </c>
      <c r="K165" s="65" t="n">
        <v>35300.11</v>
      </c>
      <c r="L165" s="65" t="n">
        <v>141200.44</v>
      </c>
      <c r="M165" s="66" t="n">
        <f aca="false">DATE(YEAR(B165),MONTH(B165),1)</f>
        <v>46023</v>
      </c>
      <c r="N165" s="35" t="str">
        <f aca="false">IF(G165="","Unknown",G165)</f>
        <v>Hyderabad</v>
      </c>
      <c r="O165" s="35" t="str">
        <f aca="false">IF(E165="","Unknown",IF(E165&lt;=25,"18-25",IF(E165&lt;=35,"26-35",IF(E165&lt;=45,"36-45",IF(E165&lt;=55,"46-55","56-65")))))</f>
        <v>36-45</v>
      </c>
      <c r="P165" s="35" t="n">
        <f aca="false">COUNTIF($C$2:$C$1001,C165)</f>
        <v>1</v>
      </c>
      <c r="Q165" s="35" t="n">
        <f aca="false">IF(COUNTIF($C$2:C165,C165)=1,1,0)</f>
        <v>1</v>
      </c>
    </row>
    <row r="166" customFormat="false" ht="15" hidden="false" customHeight="false" outlineLevel="0" collapsed="false">
      <c r="A166" s="35" t="s">
        <v>717</v>
      </c>
      <c r="B166" s="64" t="n">
        <v>45950</v>
      </c>
      <c r="C166" s="35" t="s">
        <v>718</v>
      </c>
      <c r="D166" s="35" t="s">
        <v>719</v>
      </c>
      <c r="E166" s="35" t="n">
        <v>54</v>
      </c>
      <c r="F166" s="35" t="s">
        <v>235</v>
      </c>
      <c r="G166" s="35" t="s">
        <v>220</v>
      </c>
      <c r="H166" s="35" t="s">
        <v>210</v>
      </c>
      <c r="I166" s="35" t="s">
        <v>201</v>
      </c>
      <c r="J166" s="35" t="n">
        <v>5</v>
      </c>
      <c r="K166" s="65" t="n">
        <v>25053.25</v>
      </c>
      <c r="L166" s="65" t="n">
        <v>125266.25</v>
      </c>
      <c r="M166" s="66" t="n">
        <f aca="false">DATE(YEAR(B166),MONTH(B166),1)</f>
        <v>45931</v>
      </c>
      <c r="N166" s="35" t="str">
        <f aca="false">IF(G166="","Unknown",G166)</f>
        <v>Hyderabad</v>
      </c>
      <c r="O166" s="35" t="str">
        <f aca="false">IF(E166="","Unknown",IF(E166&lt;=25,"18-25",IF(E166&lt;=35,"26-35",IF(E166&lt;=45,"36-45",IF(E166&lt;=55,"46-55","56-65")))))</f>
        <v>46-55</v>
      </c>
      <c r="P166" s="35" t="n">
        <f aca="false">COUNTIF($C$2:$C$1001,C166)</f>
        <v>1</v>
      </c>
      <c r="Q166" s="35" t="n">
        <f aca="false">IF(COUNTIF($C$2:C166,C166)=1,1,0)</f>
        <v>1</v>
      </c>
    </row>
    <row r="167" customFormat="false" ht="15" hidden="false" customHeight="false" outlineLevel="0" collapsed="false">
      <c r="A167" s="35" t="s">
        <v>720</v>
      </c>
      <c r="B167" s="64" t="n">
        <v>45904</v>
      </c>
      <c r="C167" s="35" t="s">
        <v>721</v>
      </c>
      <c r="D167" s="35" t="s">
        <v>722</v>
      </c>
      <c r="E167" s="35" t="n">
        <v>37</v>
      </c>
      <c r="F167" s="35" t="s">
        <v>235</v>
      </c>
      <c r="G167" s="35" t="s">
        <v>216</v>
      </c>
      <c r="H167" s="35" t="s">
        <v>211</v>
      </c>
      <c r="I167" s="35" t="s">
        <v>202</v>
      </c>
      <c r="J167" s="35" t="n">
        <v>7</v>
      </c>
      <c r="K167" s="65" t="n">
        <v>23674.97</v>
      </c>
      <c r="L167" s="65" t="n">
        <v>165724.79</v>
      </c>
      <c r="M167" s="66" t="n">
        <f aca="false">DATE(YEAR(B167),MONTH(B167),1)</f>
        <v>45901</v>
      </c>
      <c r="N167" s="35" t="str">
        <f aca="false">IF(G167="","Unknown",G167)</f>
        <v>Patna</v>
      </c>
      <c r="O167" s="35" t="str">
        <f aca="false">IF(E167="","Unknown",IF(E167&lt;=25,"18-25",IF(E167&lt;=35,"26-35",IF(E167&lt;=45,"36-45",IF(E167&lt;=55,"46-55","56-65")))))</f>
        <v>36-45</v>
      </c>
      <c r="P167" s="35" t="n">
        <f aca="false">COUNTIF($C$2:$C$1001,C167)</f>
        <v>1</v>
      </c>
      <c r="Q167" s="35" t="n">
        <f aca="false">IF(COUNTIF($C$2:C167,C167)=1,1,0)</f>
        <v>1</v>
      </c>
    </row>
    <row r="168" customFormat="false" ht="15" hidden="false" customHeight="false" outlineLevel="0" collapsed="false">
      <c r="A168" s="35" t="s">
        <v>723</v>
      </c>
      <c r="B168" s="64" t="n">
        <v>45719</v>
      </c>
      <c r="C168" s="35" t="s">
        <v>724</v>
      </c>
      <c r="D168" s="35" t="s">
        <v>725</v>
      </c>
      <c r="E168" s="35" t="n">
        <v>32</v>
      </c>
      <c r="F168" s="35" t="s">
        <v>234</v>
      </c>
      <c r="G168" s="35" t="s">
        <v>216</v>
      </c>
      <c r="H168" s="35" t="s">
        <v>212</v>
      </c>
      <c r="I168" s="35" t="s">
        <v>203</v>
      </c>
      <c r="J168" s="35" t="n">
        <v>8</v>
      </c>
      <c r="K168" s="65" t="n">
        <v>37436.26</v>
      </c>
      <c r="L168" s="65" t="n">
        <v>299490.08</v>
      </c>
      <c r="M168" s="66" t="n">
        <f aca="false">DATE(YEAR(B168),MONTH(B168),1)</f>
        <v>45717</v>
      </c>
      <c r="N168" s="35" t="str">
        <f aca="false">IF(G168="","Unknown",G168)</f>
        <v>Patna</v>
      </c>
      <c r="O168" s="35" t="str">
        <f aca="false">IF(E168="","Unknown",IF(E168&lt;=25,"18-25",IF(E168&lt;=35,"26-35",IF(E168&lt;=45,"36-45",IF(E168&lt;=55,"46-55","56-65")))))</f>
        <v>26-35</v>
      </c>
      <c r="P168" s="35" t="n">
        <f aca="false">COUNTIF($C$2:$C$1001,C168)</f>
        <v>1</v>
      </c>
      <c r="Q168" s="35" t="n">
        <f aca="false">IF(COUNTIF($C$2:C168,C168)=1,1,0)</f>
        <v>1</v>
      </c>
    </row>
    <row r="169" customFormat="false" ht="15" hidden="false" customHeight="false" outlineLevel="0" collapsed="false">
      <c r="A169" s="35" t="s">
        <v>726</v>
      </c>
      <c r="B169" s="64" t="n">
        <v>45875</v>
      </c>
      <c r="C169" s="35" t="s">
        <v>727</v>
      </c>
      <c r="D169" s="35" t="s">
        <v>523</v>
      </c>
      <c r="E169" s="35" t="n">
        <v>35</v>
      </c>
      <c r="F169" s="35" t="s">
        <v>235</v>
      </c>
      <c r="G169" s="35" t="s">
        <v>218</v>
      </c>
      <c r="H169" s="35" t="s">
        <v>212</v>
      </c>
      <c r="I169" s="35" t="s">
        <v>203</v>
      </c>
      <c r="J169" s="35" t="n">
        <v>10</v>
      </c>
      <c r="K169" s="65" t="n">
        <v>31730.57</v>
      </c>
      <c r="L169" s="65" t="n">
        <v>317305.7</v>
      </c>
      <c r="M169" s="66" t="n">
        <f aca="false">DATE(YEAR(B169),MONTH(B169),1)</f>
        <v>45870</v>
      </c>
      <c r="N169" s="35" t="str">
        <f aca="false">IF(G169="","Unknown",G169)</f>
        <v>Bengaluru</v>
      </c>
      <c r="O169" s="35" t="str">
        <f aca="false">IF(E169="","Unknown",IF(E169&lt;=25,"18-25",IF(E169&lt;=35,"26-35",IF(E169&lt;=45,"36-45",IF(E169&lt;=55,"46-55","56-65")))))</f>
        <v>26-35</v>
      </c>
      <c r="P169" s="35" t="n">
        <f aca="false">COUNTIF($C$2:$C$1001,C169)</f>
        <v>1</v>
      </c>
      <c r="Q169" s="35" t="n">
        <f aca="false">IF(COUNTIF($C$2:C169,C169)=1,1,0)</f>
        <v>1</v>
      </c>
    </row>
    <row r="170" customFormat="false" ht="15" hidden="false" customHeight="false" outlineLevel="0" collapsed="false">
      <c r="A170" s="35" t="s">
        <v>728</v>
      </c>
      <c r="B170" s="64" t="n">
        <v>45751</v>
      </c>
      <c r="C170" s="35" t="s">
        <v>729</v>
      </c>
      <c r="D170" s="35" t="s">
        <v>730</v>
      </c>
      <c r="E170" s="35" t="n">
        <v>49</v>
      </c>
      <c r="F170" s="35" t="s">
        <v>234</v>
      </c>
      <c r="G170" s="35" t="s">
        <v>218</v>
      </c>
      <c r="H170" s="35" t="s">
        <v>208</v>
      </c>
      <c r="I170" s="35" t="s">
        <v>200</v>
      </c>
      <c r="J170" s="35" t="n">
        <v>4</v>
      </c>
      <c r="K170" s="65" t="n">
        <v>30139.27</v>
      </c>
      <c r="L170" s="65" t="n">
        <v>120557.08</v>
      </c>
      <c r="M170" s="66" t="n">
        <f aca="false">DATE(YEAR(B170),MONTH(B170),1)</f>
        <v>45748</v>
      </c>
      <c r="N170" s="35" t="str">
        <f aca="false">IF(G170="","Unknown",G170)</f>
        <v>Bengaluru</v>
      </c>
      <c r="O170" s="35" t="str">
        <f aca="false">IF(E170="","Unknown",IF(E170&lt;=25,"18-25",IF(E170&lt;=35,"26-35",IF(E170&lt;=45,"36-45",IF(E170&lt;=55,"46-55","56-65")))))</f>
        <v>46-55</v>
      </c>
      <c r="P170" s="35" t="n">
        <f aca="false">COUNTIF($C$2:$C$1001,C170)</f>
        <v>1</v>
      </c>
      <c r="Q170" s="35" t="n">
        <f aca="false">IF(COUNTIF($C$2:C170,C170)=1,1,0)</f>
        <v>1</v>
      </c>
    </row>
    <row r="171" customFormat="false" ht="15" hidden="false" customHeight="false" outlineLevel="0" collapsed="false">
      <c r="A171" s="35" t="s">
        <v>731</v>
      </c>
      <c r="B171" s="64" t="n">
        <v>45677</v>
      </c>
      <c r="C171" s="35" t="s">
        <v>732</v>
      </c>
      <c r="D171" s="35" t="s">
        <v>302</v>
      </c>
      <c r="E171" s="35" t="n">
        <v>24</v>
      </c>
      <c r="F171" s="35" t="s">
        <v>234</v>
      </c>
      <c r="G171" s="35" t="s">
        <v>218</v>
      </c>
      <c r="H171" s="35" t="s">
        <v>212</v>
      </c>
      <c r="I171" s="35" t="s">
        <v>203</v>
      </c>
      <c r="J171" s="35" t="n">
        <v>3</v>
      </c>
      <c r="K171" s="65" t="n">
        <v>10289.67</v>
      </c>
      <c r="L171" s="65" t="n">
        <v>30869.01</v>
      </c>
      <c r="M171" s="66" t="n">
        <f aca="false">DATE(YEAR(B171),MONTH(B171),1)</f>
        <v>45658</v>
      </c>
      <c r="N171" s="35" t="str">
        <f aca="false">IF(G171="","Unknown",G171)</f>
        <v>Bengaluru</v>
      </c>
      <c r="O171" s="35" t="str">
        <f aca="false">IF(E171="","Unknown",IF(E171&lt;=25,"18-25",IF(E171&lt;=35,"26-35",IF(E171&lt;=45,"36-45",IF(E171&lt;=55,"46-55","56-65")))))</f>
        <v>18-25</v>
      </c>
      <c r="P171" s="35" t="n">
        <f aca="false">COUNTIF($C$2:$C$1001,C171)</f>
        <v>1</v>
      </c>
      <c r="Q171" s="35" t="n">
        <f aca="false">IF(COUNTIF($C$2:C171,C171)=1,1,0)</f>
        <v>1</v>
      </c>
    </row>
    <row r="172" customFormat="false" ht="15" hidden="false" customHeight="false" outlineLevel="0" collapsed="false">
      <c r="A172" s="35" t="s">
        <v>733</v>
      </c>
      <c r="B172" s="64" t="n">
        <v>45787</v>
      </c>
      <c r="C172" s="35" t="s">
        <v>734</v>
      </c>
      <c r="D172" s="35" t="s">
        <v>735</v>
      </c>
      <c r="E172" s="35" t="n">
        <v>56</v>
      </c>
      <c r="F172" s="35" t="s">
        <v>235</v>
      </c>
      <c r="G172" s="35" t="s">
        <v>219</v>
      </c>
      <c r="H172" s="35" t="s">
        <v>212</v>
      </c>
      <c r="I172" s="35" t="s">
        <v>203</v>
      </c>
      <c r="J172" s="35" t="n">
        <v>1</v>
      </c>
      <c r="K172" s="65" t="n">
        <v>8906.18</v>
      </c>
      <c r="L172" s="65" t="n">
        <v>8906.18</v>
      </c>
      <c r="M172" s="66" t="n">
        <f aca="false">DATE(YEAR(B172),MONTH(B172),1)</f>
        <v>45778</v>
      </c>
      <c r="N172" s="35" t="str">
        <f aca="false">IF(G172="","Unknown",G172)</f>
        <v>Mumbai</v>
      </c>
      <c r="O172" s="35" t="str">
        <f aca="false">IF(E172="","Unknown",IF(E172&lt;=25,"18-25",IF(E172&lt;=35,"26-35",IF(E172&lt;=45,"36-45",IF(E172&lt;=55,"46-55","56-65")))))</f>
        <v>56-65</v>
      </c>
      <c r="P172" s="35" t="n">
        <f aca="false">COUNTIF($C$2:$C$1001,C172)</f>
        <v>1</v>
      </c>
      <c r="Q172" s="35" t="n">
        <f aca="false">IF(COUNTIF($C$2:C172,C172)=1,1,0)</f>
        <v>1</v>
      </c>
    </row>
    <row r="173" customFormat="false" ht="15" hidden="false" customHeight="false" outlineLevel="0" collapsed="false">
      <c r="A173" s="35" t="s">
        <v>736</v>
      </c>
      <c r="B173" s="64" t="n">
        <v>45683</v>
      </c>
      <c r="C173" s="35" t="s">
        <v>737</v>
      </c>
      <c r="D173" s="35" t="s">
        <v>738</v>
      </c>
      <c r="E173" s="35" t="n">
        <v>18</v>
      </c>
      <c r="F173" s="35" t="s">
        <v>234</v>
      </c>
      <c r="G173" s="35" t="s">
        <v>220</v>
      </c>
      <c r="H173" s="35" t="s">
        <v>211</v>
      </c>
      <c r="I173" s="35" t="s">
        <v>202</v>
      </c>
      <c r="J173" s="35" t="n">
        <v>2</v>
      </c>
      <c r="K173" s="65" t="n">
        <v>21856.64</v>
      </c>
      <c r="L173" s="65" t="n">
        <v>43713.28</v>
      </c>
      <c r="M173" s="66" t="n">
        <f aca="false">DATE(YEAR(B173),MONTH(B173),1)</f>
        <v>45658</v>
      </c>
      <c r="N173" s="35" t="str">
        <f aca="false">IF(G173="","Unknown",G173)</f>
        <v>Hyderabad</v>
      </c>
      <c r="O173" s="35" t="str">
        <f aca="false">IF(E173="","Unknown",IF(E173&lt;=25,"18-25",IF(E173&lt;=35,"26-35",IF(E173&lt;=45,"36-45",IF(E173&lt;=55,"46-55","56-65")))))</f>
        <v>18-25</v>
      </c>
      <c r="P173" s="35" t="n">
        <f aca="false">COUNTIF($C$2:$C$1001,C173)</f>
        <v>1</v>
      </c>
      <c r="Q173" s="35" t="n">
        <f aca="false">IF(COUNTIF($C$2:C173,C173)=1,1,0)</f>
        <v>1</v>
      </c>
    </row>
    <row r="174" customFormat="false" ht="15" hidden="false" customHeight="false" outlineLevel="0" collapsed="false">
      <c r="A174" s="35" t="s">
        <v>739</v>
      </c>
      <c r="B174" s="64" t="n">
        <v>45755</v>
      </c>
      <c r="C174" s="35" t="s">
        <v>740</v>
      </c>
      <c r="D174" s="35" t="s">
        <v>741</v>
      </c>
      <c r="E174" s="35" t="n">
        <v>35</v>
      </c>
      <c r="F174" s="35" t="s">
        <v>234</v>
      </c>
      <c r="G174" s="35" t="s">
        <v>223</v>
      </c>
      <c r="H174" s="35" t="s">
        <v>211</v>
      </c>
      <c r="I174" s="35" t="s">
        <v>202</v>
      </c>
      <c r="J174" s="35" t="n">
        <v>9</v>
      </c>
      <c r="K174" s="65" t="n">
        <v>26781.39</v>
      </c>
      <c r="L174" s="65" t="n">
        <v>241032.51</v>
      </c>
      <c r="M174" s="66" t="n">
        <f aca="false">DATE(YEAR(B174),MONTH(B174),1)</f>
        <v>45748</v>
      </c>
      <c r="N174" s="35" t="str">
        <f aca="false">IF(G174="","Unknown",G174)</f>
        <v>Gaya</v>
      </c>
      <c r="O174" s="35" t="str">
        <f aca="false">IF(E174="","Unknown",IF(E174&lt;=25,"18-25",IF(E174&lt;=35,"26-35",IF(E174&lt;=45,"36-45",IF(E174&lt;=55,"46-55","56-65")))))</f>
        <v>26-35</v>
      </c>
      <c r="P174" s="35" t="n">
        <f aca="false">COUNTIF($C$2:$C$1001,C174)</f>
        <v>1</v>
      </c>
      <c r="Q174" s="35" t="n">
        <f aca="false">IF(COUNTIF($C$2:C174,C174)=1,1,0)</f>
        <v>1</v>
      </c>
    </row>
    <row r="175" customFormat="false" ht="15" hidden="false" customHeight="false" outlineLevel="0" collapsed="false">
      <c r="A175" s="35" t="s">
        <v>742</v>
      </c>
      <c r="B175" s="64" t="n">
        <v>45815</v>
      </c>
      <c r="C175" s="35" t="s">
        <v>743</v>
      </c>
      <c r="D175" s="35" t="s">
        <v>744</v>
      </c>
      <c r="E175" s="35" t="n">
        <v>41</v>
      </c>
      <c r="F175" s="35" t="s">
        <v>234</v>
      </c>
      <c r="G175" s="35" t="s">
        <v>216</v>
      </c>
      <c r="H175" s="35" t="s">
        <v>211</v>
      </c>
      <c r="I175" s="35" t="s">
        <v>202</v>
      </c>
      <c r="J175" s="35" t="n">
        <v>9</v>
      </c>
      <c r="K175" s="65" t="n">
        <v>49390.42</v>
      </c>
      <c r="L175" s="65" t="n">
        <v>444513.78</v>
      </c>
      <c r="M175" s="66" t="n">
        <f aca="false">DATE(YEAR(B175),MONTH(B175),1)</f>
        <v>45809</v>
      </c>
      <c r="N175" s="35" t="str">
        <f aca="false">IF(G175="","Unknown",G175)</f>
        <v>Patna</v>
      </c>
      <c r="O175" s="35" t="str">
        <f aca="false">IF(E175="","Unknown",IF(E175&lt;=25,"18-25",IF(E175&lt;=35,"26-35",IF(E175&lt;=45,"36-45",IF(E175&lt;=55,"46-55","56-65")))))</f>
        <v>36-45</v>
      </c>
      <c r="P175" s="35" t="n">
        <f aca="false">COUNTIF($C$2:$C$1001,C175)</f>
        <v>1</v>
      </c>
      <c r="Q175" s="35" t="n">
        <f aca="false">IF(COUNTIF($C$2:C175,C175)=1,1,0)</f>
        <v>1</v>
      </c>
    </row>
    <row r="176" customFormat="false" ht="15" hidden="false" customHeight="false" outlineLevel="0" collapsed="false">
      <c r="A176" s="35" t="s">
        <v>745</v>
      </c>
      <c r="B176" s="64" t="n">
        <v>45668</v>
      </c>
      <c r="C176" s="35" t="s">
        <v>746</v>
      </c>
      <c r="D176" s="35" t="s">
        <v>747</v>
      </c>
      <c r="E176" s="35" t="n">
        <v>21</v>
      </c>
      <c r="F176" s="35" t="s">
        <v>234</v>
      </c>
      <c r="G176" s="35" t="s">
        <v>219</v>
      </c>
      <c r="H176" s="35" t="s">
        <v>208</v>
      </c>
      <c r="I176" s="35" t="s">
        <v>200</v>
      </c>
      <c r="J176" s="35" t="n">
        <v>9</v>
      </c>
      <c r="K176" s="65" t="n">
        <v>21792.76</v>
      </c>
      <c r="L176" s="65" t="n">
        <v>196134.84</v>
      </c>
      <c r="M176" s="66" t="n">
        <f aca="false">DATE(YEAR(B176),MONTH(B176),1)</f>
        <v>45658</v>
      </c>
      <c r="N176" s="35" t="str">
        <f aca="false">IF(G176="","Unknown",G176)</f>
        <v>Mumbai</v>
      </c>
      <c r="O176" s="35" t="str">
        <f aca="false">IF(E176="","Unknown",IF(E176&lt;=25,"18-25",IF(E176&lt;=35,"26-35",IF(E176&lt;=45,"36-45",IF(E176&lt;=55,"46-55","56-65")))))</f>
        <v>18-25</v>
      </c>
      <c r="P176" s="35" t="n">
        <f aca="false">COUNTIF($C$2:$C$1001,C176)</f>
        <v>1</v>
      </c>
      <c r="Q176" s="35" t="n">
        <f aca="false">IF(COUNTIF($C$2:C176,C176)=1,1,0)</f>
        <v>1</v>
      </c>
    </row>
    <row r="177" customFormat="false" ht="15" hidden="false" customHeight="false" outlineLevel="0" collapsed="false">
      <c r="A177" s="35" t="s">
        <v>748</v>
      </c>
      <c r="B177" s="64" t="n">
        <v>45812</v>
      </c>
      <c r="C177" s="35" t="s">
        <v>749</v>
      </c>
      <c r="D177" s="35" t="s">
        <v>722</v>
      </c>
      <c r="E177" s="35" t="n">
        <v>54</v>
      </c>
      <c r="F177" s="35" t="s">
        <v>234</v>
      </c>
      <c r="G177" s="35" t="s">
        <v>222</v>
      </c>
      <c r="H177" s="35" t="s">
        <v>209</v>
      </c>
      <c r="I177" s="35" t="s">
        <v>200</v>
      </c>
      <c r="J177" s="35" t="n">
        <v>4</v>
      </c>
      <c r="K177" s="65" t="n">
        <v>16850.46</v>
      </c>
      <c r="L177" s="65" t="n">
        <v>67401.84</v>
      </c>
      <c r="M177" s="66" t="n">
        <f aca="false">DATE(YEAR(B177),MONTH(B177),1)</f>
        <v>45809</v>
      </c>
      <c r="N177" s="35" t="str">
        <f aca="false">IF(G177="","Unknown",G177)</f>
        <v>Pune</v>
      </c>
      <c r="O177" s="35" t="str">
        <f aca="false">IF(E177="","Unknown",IF(E177&lt;=25,"18-25",IF(E177&lt;=35,"26-35",IF(E177&lt;=45,"36-45",IF(E177&lt;=55,"46-55","56-65")))))</f>
        <v>46-55</v>
      </c>
      <c r="P177" s="35" t="n">
        <f aca="false">COUNTIF($C$2:$C$1001,C177)</f>
        <v>1</v>
      </c>
      <c r="Q177" s="35" t="n">
        <f aca="false">IF(COUNTIF($C$2:C177,C177)=1,1,0)</f>
        <v>1</v>
      </c>
    </row>
    <row r="178" customFormat="false" ht="15" hidden="false" customHeight="false" outlineLevel="0" collapsed="false">
      <c r="A178" s="35" t="s">
        <v>750</v>
      </c>
      <c r="B178" s="64" t="n">
        <v>45829</v>
      </c>
      <c r="C178" s="35" t="s">
        <v>751</v>
      </c>
      <c r="D178" s="35" t="s">
        <v>752</v>
      </c>
      <c r="E178" s="35" t="n">
        <v>20</v>
      </c>
      <c r="F178" s="35" t="s">
        <v>235</v>
      </c>
      <c r="G178" s="35" t="s">
        <v>222</v>
      </c>
      <c r="H178" s="35" t="s">
        <v>209</v>
      </c>
      <c r="I178" s="35" t="s">
        <v>200</v>
      </c>
      <c r="J178" s="35" t="n">
        <v>2</v>
      </c>
      <c r="K178" s="65" t="n">
        <v>14098.13</v>
      </c>
      <c r="L178" s="65" t="n">
        <v>28196.26</v>
      </c>
      <c r="M178" s="66" t="n">
        <f aca="false">DATE(YEAR(B178),MONTH(B178),1)</f>
        <v>45809</v>
      </c>
      <c r="N178" s="35" t="str">
        <f aca="false">IF(G178="","Unknown",G178)</f>
        <v>Pune</v>
      </c>
      <c r="O178" s="35" t="str">
        <f aca="false">IF(E178="","Unknown",IF(E178&lt;=25,"18-25",IF(E178&lt;=35,"26-35",IF(E178&lt;=45,"36-45",IF(E178&lt;=55,"46-55","56-65")))))</f>
        <v>18-25</v>
      </c>
      <c r="P178" s="35" t="n">
        <f aca="false">COUNTIF($C$2:$C$1001,C178)</f>
        <v>1</v>
      </c>
      <c r="Q178" s="35" t="n">
        <f aca="false">IF(COUNTIF($C$2:C178,C178)=1,1,0)</f>
        <v>1</v>
      </c>
    </row>
    <row r="179" customFormat="false" ht="15" hidden="false" customHeight="false" outlineLevel="0" collapsed="false">
      <c r="A179" s="35" t="s">
        <v>753</v>
      </c>
      <c r="B179" s="64" t="n">
        <v>45839</v>
      </c>
      <c r="C179" s="35" t="s">
        <v>754</v>
      </c>
      <c r="D179" s="35" t="s">
        <v>755</v>
      </c>
      <c r="E179" s="35" t="n">
        <v>44</v>
      </c>
      <c r="F179" s="35" t="s">
        <v>234</v>
      </c>
      <c r="G179" s="35" t="s">
        <v>223</v>
      </c>
      <c r="H179" s="35" t="s">
        <v>209</v>
      </c>
      <c r="I179" s="35" t="s">
        <v>200</v>
      </c>
      <c r="J179" s="35" t="n">
        <v>3</v>
      </c>
      <c r="K179" s="65" t="n">
        <v>34033.11</v>
      </c>
      <c r="L179" s="65" t="n">
        <v>102099.33</v>
      </c>
      <c r="M179" s="66" t="n">
        <f aca="false">DATE(YEAR(B179),MONTH(B179),1)</f>
        <v>45839</v>
      </c>
      <c r="N179" s="35" t="str">
        <f aca="false">IF(G179="","Unknown",G179)</f>
        <v>Gaya</v>
      </c>
      <c r="O179" s="35" t="str">
        <f aca="false">IF(E179="","Unknown",IF(E179&lt;=25,"18-25",IF(E179&lt;=35,"26-35",IF(E179&lt;=45,"36-45",IF(E179&lt;=55,"46-55","56-65")))))</f>
        <v>36-45</v>
      </c>
      <c r="P179" s="35" t="n">
        <f aca="false">COUNTIF($C$2:$C$1001,C179)</f>
        <v>1</v>
      </c>
      <c r="Q179" s="35" t="n">
        <f aca="false">IF(COUNTIF($C$2:C179,C179)=1,1,0)</f>
        <v>1</v>
      </c>
    </row>
    <row r="180" customFormat="false" ht="15" hidden="false" customHeight="false" outlineLevel="0" collapsed="false">
      <c r="A180" s="35" t="s">
        <v>756</v>
      </c>
      <c r="B180" s="64" t="n">
        <v>45721</v>
      </c>
      <c r="C180" s="35" t="s">
        <v>757</v>
      </c>
      <c r="D180" s="35" t="s">
        <v>710</v>
      </c>
      <c r="E180" s="35" t="n">
        <v>27</v>
      </c>
      <c r="F180" s="35" t="s">
        <v>234</v>
      </c>
      <c r="G180" s="35" t="s">
        <v>217</v>
      </c>
      <c r="H180" s="35" t="s">
        <v>208</v>
      </c>
      <c r="I180" s="35" t="s">
        <v>200</v>
      </c>
      <c r="J180" s="35" t="n">
        <v>5</v>
      </c>
      <c r="K180" s="65" t="n">
        <v>1423.81</v>
      </c>
      <c r="L180" s="65" t="n">
        <v>7119.05</v>
      </c>
      <c r="M180" s="66" t="n">
        <f aca="false">DATE(YEAR(B180),MONTH(B180),1)</f>
        <v>45717</v>
      </c>
      <c r="N180" s="35" t="str">
        <f aca="false">IF(G180="","Unknown",G180)</f>
        <v>Kolkata</v>
      </c>
      <c r="O180" s="35" t="str">
        <f aca="false">IF(E180="","Unknown",IF(E180&lt;=25,"18-25",IF(E180&lt;=35,"26-35",IF(E180&lt;=45,"36-45",IF(E180&lt;=55,"46-55","56-65")))))</f>
        <v>26-35</v>
      </c>
      <c r="P180" s="35" t="n">
        <f aca="false">COUNTIF($C$2:$C$1001,C180)</f>
        <v>1</v>
      </c>
      <c r="Q180" s="35" t="n">
        <f aca="false">IF(COUNTIF($C$2:C180,C180)=1,1,0)</f>
        <v>1</v>
      </c>
    </row>
    <row r="181" customFormat="false" ht="15" hidden="false" customHeight="false" outlineLevel="0" collapsed="false">
      <c r="A181" s="35" t="s">
        <v>758</v>
      </c>
      <c r="B181" s="64" t="n">
        <v>45961</v>
      </c>
      <c r="C181" s="35" t="s">
        <v>759</v>
      </c>
      <c r="D181" s="35" t="s">
        <v>760</v>
      </c>
      <c r="E181" s="35" t="n">
        <v>55</v>
      </c>
      <c r="F181" s="35" t="s">
        <v>234</v>
      </c>
      <c r="G181" s="35" t="s">
        <v>221</v>
      </c>
      <c r="H181" s="35" t="s">
        <v>211</v>
      </c>
      <c r="I181" s="35" t="s">
        <v>202</v>
      </c>
      <c r="J181" s="35" t="n">
        <v>8</v>
      </c>
      <c r="K181" s="65" t="n">
        <v>29735.57</v>
      </c>
      <c r="L181" s="65" t="n">
        <v>237884.56</v>
      </c>
      <c r="M181" s="66" t="n">
        <f aca="false">DATE(YEAR(B181),MONTH(B181),1)</f>
        <v>45931</v>
      </c>
      <c r="N181" s="35" t="str">
        <f aca="false">IF(G181="","Unknown",G181)</f>
        <v>Delhi</v>
      </c>
      <c r="O181" s="35" t="str">
        <f aca="false">IF(E181="","Unknown",IF(E181&lt;=25,"18-25",IF(E181&lt;=35,"26-35",IF(E181&lt;=45,"36-45",IF(E181&lt;=55,"46-55","56-65")))))</f>
        <v>46-55</v>
      </c>
      <c r="P181" s="35" t="n">
        <f aca="false">COUNTIF($C$2:$C$1001,C181)</f>
        <v>2</v>
      </c>
      <c r="Q181" s="35" t="n">
        <f aca="false">IF(COUNTIF($C$2:C181,C181)=1,1,0)</f>
        <v>1</v>
      </c>
    </row>
    <row r="182" customFormat="false" ht="15" hidden="false" customHeight="false" outlineLevel="0" collapsed="false">
      <c r="A182" s="35" t="s">
        <v>761</v>
      </c>
      <c r="B182" s="64" t="n">
        <v>45683</v>
      </c>
      <c r="C182" s="35" t="s">
        <v>762</v>
      </c>
      <c r="D182" s="35" t="s">
        <v>763</v>
      </c>
      <c r="E182" s="35" t="n">
        <v>35</v>
      </c>
      <c r="F182" s="35" t="s">
        <v>234</v>
      </c>
      <c r="G182" s="35" t="s">
        <v>223</v>
      </c>
      <c r="H182" s="35" t="s">
        <v>212</v>
      </c>
      <c r="I182" s="35" t="s">
        <v>203</v>
      </c>
      <c r="J182" s="35" t="n">
        <v>7</v>
      </c>
      <c r="K182" s="65" t="n">
        <v>1481</v>
      </c>
      <c r="L182" s="65" t="n">
        <v>10367</v>
      </c>
      <c r="M182" s="66" t="n">
        <f aca="false">DATE(YEAR(B182),MONTH(B182),1)</f>
        <v>45658</v>
      </c>
      <c r="N182" s="35" t="str">
        <f aca="false">IF(G182="","Unknown",G182)</f>
        <v>Gaya</v>
      </c>
      <c r="O182" s="35" t="str">
        <f aca="false">IF(E182="","Unknown",IF(E182&lt;=25,"18-25",IF(E182&lt;=35,"26-35",IF(E182&lt;=45,"36-45",IF(E182&lt;=55,"46-55","56-65")))))</f>
        <v>26-35</v>
      </c>
      <c r="P182" s="35" t="n">
        <f aca="false">COUNTIF($C$2:$C$1001,C182)</f>
        <v>1</v>
      </c>
      <c r="Q182" s="35" t="n">
        <f aca="false">IF(COUNTIF($C$2:C182,C182)=1,1,0)</f>
        <v>1</v>
      </c>
    </row>
    <row r="183" customFormat="false" ht="15" hidden="false" customHeight="false" outlineLevel="0" collapsed="false">
      <c r="A183" s="35" t="s">
        <v>764</v>
      </c>
      <c r="B183" s="64" t="n">
        <v>45975</v>
      </c>
      <c r="C183" s="35" t="s">
        <v>301</v>
      </c>
      <c r="D183" s="35" t="s">
        <v>765</v>
      </c>
      <c r="E183" s="35" t="n">
        <v>60</v>
      </c>
      <c r="F183" s="35" t="s">
        <v>235</v>
      </c>
      <c r="G183" s="35" t="s">
        <v>222</v>
      </c>
      <c r="H183" s="35" t="s">
        <v>208</v>
      </c>
      <c r="I183" s="35" t="s">
        <v>200</v>
      </c>
      <c r="J183" s="35" t="n">
        <v>8</v>
      </c>
      <c r="K183" s="65" t="n">
        <v>23129.36</v>
      </c>
      <c r="L183" s="65" t="n">
        <v>185034.88</v>
      </c>
      <c r="M183" s="66" t="n">
        <f aca="false">DATE(YEAR(B183),MONTH(B183),1)</f>
        <v>45962</v>
      </c>
      <c r="N183" s="35" t="str">
        <f aca="false">IF(G183="","Unknown",G183)</f>
        <v>Pune</v>
      </c>
      <c r="O183" s="35" t="str">
        <f aca="false">IF(E183="","Unknown",IF(E183&lt;=25,"18-25",IF(E183&lt;=35,"26-35",IF(E183&lt;=45,"36-45",IF(E183&lt;=55,"46-55","56-65")))))</f>
        <v>56-65</v>
      </c>
      <c r="P183" s="35" t="n">
        <f aca="false">COUNTIF($C$2:$C$1001,C183)</f>
        <v>2</v>
      </c>
      <c r="Q183" s="35" t="n">
        <f aca="false">IF(COUNTIF($C$2:C183,C183)=1,1,0)</f>
        <v>0</v>
      </c>
    </row>
    <row r="184" customFormat="false" ht="15" hidden="false" customHeight="false" outlineLevel="0" collapsed="false">
      <c r="A184" s="35" t="s">
        <v>766</v>
      </c>
      <c r="B184" s="64" t="n">
        <v>45954</v>
      </c>
      <c r="C184" s="35" t="s">
        <v>767</v>
      </c>
      <c r="D184" s="35" t="s">
        <v>768</v>
      </c>
      <c r="E184" s="35" t="n">
        <v>43</v>
      </c>
      <c r="F184" s="35" t="s">
        <v>234</v>
      </c>
      <c r="G184" s="35" t="s">
        <v>217</v>
      </c>
      <c r="H184" s="35" t="s">
        <v>212</v>
      </c>
      <c r="I184" s="35" t="s">
        <v>203</v>
      </c>
      <c r="J184" s="35" t="n">
        <v>2</v>
      </c>
      <c r="K184" s="65" t="n">
        <v>44336.38</v>
      </c>
      <c r="L184" s="65" t="n">
        <v>88672.76</v>
      </c>
      <c r="M184" s="66" t="n">
        <f aca="false">DATE(YEAR(B184),MONTH(B184),1)</f>
        <v>45931</v>
      </c>
      <c r="N184" s="35" t="str">
        <f aca="false">IF(G184="","Unknown",G184)</f>
        <v>Kolkata</v>
      </c>
      <c r="O184" s="35" t="str">
        <f aca="false">IF(E184="","Unknown",IF(E184&lt;=25,"18-25",IF(E184&lt;=35,"26-35",IF(E184&lt;=45,"36-45",IF(E184&lt;=55,"46-55","56-65")))))</f>
        <v>36-45</v>
      </c>
      <c r="P184" s="35" t="n">
        <f aca="false">COUNTIF($C$2:$C$1001,C184)</f>
        <v>1</v>
      </c>
      <c r="Q184" s="35" t="n">
        <f aca="false">IF(COUNTIF($C$2:C184,C184)=1,1,0)</f>
        <v>1</v>
      </c>
    </row>
    <row r="185" customFormat="false" ht="15" hidden="false" customHeight="false" outlineLevel="0" collapsed="false">
      <c r="A185" s="35" t="s">
        <v>769</v>
      </c>
      <c r="B185" s="64" t="n">
        <v>45672</v>
      </c>
      <c r="C185" s="35" t="s">
        <v>770</v>
      </c>
      <c r="D185" s="35" t="s">
        <v>462</v>
      </c>
      <c r="E185" s="35" t="n">
        <v>34</v>
      </c>
      <c r="F185" s="35" t="s">
        <v>235</v>
      </c>
      <c r="G185" s="35" t="s">
        <v>220</v>
      </c>
      <c r="H185" s="35" t="s">
        <v>208</v>
      </c>
      <c r="I185" s="35" t="s">
        <v>200</v>
      </c>
      <c r="J185" s="35" t="n">
        <v>5</v>
      </c>
      <c r="K185" s="65" t="n">
        <v>2983.97</v>
      </c>
      <c r="L185" s="65" t="n">
        <v>14919.85</v>
      </c>
      <c r="M185" s="66" t="n">
        <f aca="false">DATE(YEAR(B185),MONTH(B185),1)</f>
        <v>45658</v>
      </c>
      <c r="N185" s="35" t="str">
        <f aca="false">IF(G185="","Unknown",G185)</f>
        <v>Hyderabad</v>
      </c>
      <c r="O185" s="35" t="str">
        <f aca="false">IF(E185="","Unknown",IF(E185&lt;=25,"18-25",IF(E185&lt;=35,"26-35",IF(E185&lt;=45,"36-45",IF(E185&lt;=55,"46-55","56-65")))))</f>
        <v>26-35</v>
      </c>
      <c r="P185" s="35" t="n">
        <f aca="false">COUNTIF($C$2:$C$1001,C185)</f>
        <v>1</v>
      </c>
      <c r="Q185" s="35" t="n">
        <f aca="false">IF(COUNTIF($C$2:C185,C185)=1,1,0)</f>
        <v>1</v>
      </c>
    </row>
    <row r="186" customFormat="false" ht="15" hidden="false" customHeight="false" outlineLevel="0" collapsed="false">
      <c r="A186" s="35" t="s">
        <v>771</v>
      </c>
      <c r="B186" s="64" t="n">
        <v>45724</v>
      </c>
      <c r="C186" s="35" t="s">
        <v>772</v>
      </c>
      <c r="D186" s="35" t="s">
        <v>773</v>
      </c>
      <c r="E186" s="35" t="n">
        <v>44</v>
      </c>
      <c r="F186" s="35" t="s">
        <v>234</v>
      </c>
      <c r="G186" s="35" t="s">
        <v>223</v>
      </c>
      <c r="H186" s="35" t="s">
        <v>212</v>
      </c>
      <c r="I186" s="35" t="s">
        <v>203</v>
      </c>
      <c r="J186" s="35" t="n">
        <v>3</v>
      </c>
      <c r="K186" s="65" t="n">
        <v>8820.55</v>
      </c>
      <c r="L186" s="65" t="n">
        <v>26461.65</v>
      </c>
      <c r="M186" s="66" t="n">
        <f aca="false">DATE(YEAR(B186),MONTH(B186),1)</f>
        <v>45717</v>
      </c>
      <c r="N186" s="35" t="str">
        <f aca="false">IF(G186="","Unknown",G186)</f>
        <v>Gaya</v>
      </c>
      <c r="O186" s="35" t="str">
        <f aca="false">IF(E186="","Unknown",IF(E186&lt;=25,"18-25",IF(E186&lt;=35,"26-35",IF(E186&lt;=45,"36-45",IF(E186&lt;=55,"46-55","56-65")))))</f>
        <v>36-45</v>
      </c>
      <c r="P186" s="35" t="n">
        <f aca="false">COUNTIF($C$2:$C$1001,C186)</f>
        <v>1</v>
      </c>
      <c r="Q186" s="35" t="n">
        <f aca="false">IF(COUNTIF($C$2:C186,C186)=1,1,0)</f>
        <v>1</v>
      </c>
    </row>
    <row r="187" customFormat="false" ht="15" hidden="false" customHeight="false" outlineLevel="0" collapsed="false">
      <c r="A187" s="35" t="s">
        <v>774</v>
      </c>
      <c r="B187" s="64" t="n">
        <v>45790</v>
      </c>
      <c r="C187" s="35" t="s">
        <v>775</v>
      </c>
      <c r="D187" s="35" t="s">
        <v>776</v>
      </c>
      <c r="E187" s="35" t="n">
        <v>60</v>
      </c>
      <c r="F187" s="35" t="s">
        <v>235</v>
      </c>
      <c r="G187" s="35" t="s">
        <v>223</v>
      </c>
      <c r="H187" s="35" t="s">
        <v>208</v>
      </c>
      <c r="I187" s="35" t="s">
        <v>200</v>
      </c>
      <c r="J187" s="35" t="n">
        <v>1</v>
      </c>
      <c r="K187" s="65" t="n">
        <v>21001.73</v>
      </c>
      <c r="L187" s="65" t="n">
        <v>21001.73</v>
      </c>
      <c r="M187" s="66" t="n">
        <f aca="false">DATE(YEAR(B187),MONTH(B187),1)</f>
        <v>45778</v>
      </c>
      <c r="N187" s="35" t="str">
        <f aca="false">IF(G187="","Unknown",G187)</f>
        <v>Gaya</v>
      </c>
      <c r="O187" s="35" t="str">
        <f aca="false">IF(E187="","Unknown",IF(E187&lt;=25,"18-25",IF(E187&lt;=35,"26-35",IF(E187&lt;=45,"36-45",IF(E187&lt;=55,"46-55","56-65")))))</f>
        <v>56-65</v>
      </c>
      <c r="P187" s="35" t="n">
        <f aca="false">COUNTIF($C$2:$C$1001,C187)</f>
        <v>1</v>
      </c>
      <c r="Q187" s="35" t="n">
        <f aca="false">IF(COUNTIF($C$2:C187,C187)=1,1,0)</f>
        <v>1</v>
      </c>
    </row>
    <row r="188" customFormat="false" ht="15" hidden="false" customHeight="false" outlineLevel="0" collapsed="false">
      <c r="A188" s="35" t="s">
        <v>777</v>
      </c>
      <c r="B188" s="64" t="n">
        <v>45774</v>
      </c>
      <c r="C188" s="35" t="s">
        <v>778</v>
      </c>
      <c r="D188" s="35" t="s">
        <v>779</v>
      </c>
      <c r="E188" s="35" t="n">
        <v>33</v>
      </c>
      <c r="F188" s="35" t="s">
        <v>234</v>
      </c>
      <c r="G188" s="35" t="s">
        <v>221</v>
      </c>
      <c r="H188" s="35" t="s">
        <v>208</v>
      </c>
      <c r="I188" s="35" t="s">
        <v>200</v>
      </c>
      <c r="J188" s="35" t="n">
        <v>9</v>
      </c>
      <c r="K188" s="65" t="n">
        <v>16767.5</v>
      </c>
      <c r="L188" s="65" t="n">
        <v>150907.5</v>
      </c>
      <c r="M188" s="66" t="n">
        <f aca="false">DATE(YEAR(B188),MONTH(B188),1)</f>
        <v>45748</v>
      </c>
      <c r="N188" s="35" t="str">
        <f aca="false">IF(G188="","Unknown",G188)</f>
        <v>Delhi</v>
      </c>
      <c r="O188" s="35" t="str">
        <f aca="false">IF(E188="","Unknown",IF(E188&lt;=25,"18-25",IF(E188&lt;=35,"26-35",IF(E188&lt;=45,"36-45",IF(E188&lt;=55,"46-55","56-65")))))</f>
        <v>26-35</v>
      </c>
      <c r="P188" s="35" t="n">
        <f aca="false">COUNTIF($C$2:$C$1001,C188)</f>
        <v>1</v>
      </c>
      <c r="Q188" s="35" t="n">
        <f aca="false">IF(COUNTIF($C$2:C188,C188)=1,1,0)</f>
        <v>1</v>
      </c>
    </row>
    <row r="189" customFormat="false" ht="15" hidden="false" customHeight="false" outlineLevel="0" collapsed="false">
      <c r="A189" s="35" t="s">
        <v>780</v>
      </c>
      <c r="B189" s="64" t="n">
        <v>45834</v>
      </c>
      <c r="C189" s="35" t="s">
        <v>781</v>
      </c>
      <c r="D189" s="35" t="s">
        <v>543</v>
      </c>
      <c r="E189" s="35" t="n">
        <v>27</v>
      </c>
      <c r="F189" s="35" t="s">
        <v>234</v>
      </c>
      <c r="G189" s="35" t="s">
        <v>218</v>
      </c>
      <c r="H189" s="35" t="s">
        <v>211</v>
      </c>
      <c r="I189" s="35" t="s">
        <v>202</v>
      </c>
      <c r="J189" s="35" t="n">
        <v>3</v>
      </c>
      <c r="K189" s="65" t="n">
        <v>47959.38</v>
      </c>
      <c r="L189" s="65" t="n">
        <v>143878.14</v>
      </c>
      <c r="M189" s="66" t="n">
        <f aca="false">DATE(YEAR(B189),MONTH(B189),1)</f>
        <v>45809</v>
      </c>
      <c r="N189" s="35" t="str">
        <f aca="false">IF(G189="","Unknown",G189)</f>
        <v>Bengaluru</v>
      </c>
      <c r="O189" s="35" t="str">
        <f aca="false">IF(E189="","Unknown",IF(E189&lt;=25,"18-25",IF(E189&lt;=35,"26-35",IF(E189&lt;=45,"36-45",IF(E189&lt;=55,"46-55","56-65")))))</f>
        <v>26-35</v>
      </c>
      <c r="P189" s="35" t="n">
        <f aca="false">COUNTIF($C$2:$C$1001,C189)</f>
        <v>1</v>
      </c>
      <c r="Q189" s="35" t="n">
        <f aca="false">IF(COUNTIF($C$2:C189,C189)=1,1,0)</f>
        <v>1</v>
      </c>
    </row>
    <row r="190" customFormat="false" ht="15" hidden="false" customHeight="false" outlineLevel="0" collapsed="false">
      <c r="A190" s="35" t="s">
        <v>782</v>
      </c>
      <c r="B190" s="64" t="n">
        <v>45908</v>
      </c>
      <c r="C190" s="35" t="s">
        <v>783</v>
      </c>
      <c r="D190" s="35" t="s">
        <v>784</v>
      </c>
      <c r="E190" s="35" t="n">
        <v>43</v>
      </c>
      <c r="F190" s="35" t="s">
        <v>235</v>
      </c>
      <c r="G190" s="35" t="s">
        <v>221</v>
      </c>
      <c r="H190" s="35" t="s">
        <v>212</v>
      </c>
      <c r="I190" s="35" t="s">
        <v>203</v>
      </c>
      <c r="J190" s="35" t="n">
        <v>5</v>
      </c>
      <c r="K190" s="65" t="n">
        <v>7642.84</v>
      </c>
      <c r="L190" s="65" t="n">
        <v>38214.2</v>
      </c>
      <c r="M190" s="66" t="n">
        <f aca="false">DATE(YEAR(B190),MONTH(B190),1)</f>
        <v>45901</v>
      </c>
      <c r="N190" s="35" t="str">
        <f aca="false">IF(G190="","Unknown",G190)</f>
        <v>Delhi</v>
      </c>
      <c r="O190" s="35" t="str">
        <f aca="false">IF(E190="","Unknown",IF(E190&lt;=25,"18-25",IF(E190&lt;=35,"26-35",IF(E190&lt;=45,"36-45",IF(E190&lt;=55,"46-55","56-65")))))</f>
        <v>36-45</v>
      </c>
      <c r="P190" s="35" t="n">
        <f aca="false">COUNTIF($C$2:$C$1001,C190)</f>
        <v>1</v>
      </c>
      <c r="Q190" s="35" t="n">
        <f aca="false">IF(COUNTIF($C$2:C190,C190)=1,1,0)</f>
        <v>1</v>
      </c>
    </row>
    <row r="191" customFormat="false" ht="15" hidden="false" customHeight="false" outlineLevel="0" collapsed="false">
      <c r="A191" s="35" t="s">
        <v>785</v>
      </c>
      <c r="B191" s="64" t="n">
        <v>45988</v>
      </c>
      <c r="C191" s="35" t="s">
        <v>786</v>
      </c>
      <c r="D191" s="35" t="s">
        <v>361</v>
      </c>
      <c r="E191" s="35" t="n">
        <v>60</v>
      </c>
      <c r="F191" s="35" t="s">
        <v>235</v>
      </c>
      <c r="G191" s="35" t="s">
        <v>221</v>
      </c>
      <c r="H191" s="35" t="s">
        <v>208</v>
      </c>
      <c r="I191" s="35" t="s">
        <v>200</v>
      </c>
      <c r="J191" s="35" t="n">
        <v>10</v>
      </c>
      <c r="K191" s="65" t="n">
        <v>1959.05</v>
      </c>
      <c r="L191" s="65" t="n">
        <v>19590.5</v>
      </c>
      <c r="M191" s="66" t="n">
        <f aca="false">DATE(YEAR(B191),MONTH(B191),1)</f>
        <v>45962</v>
      </c>
      <c r="N191" s="35" t="str">
        <f aca="false">IF(G191="","Unknown",G191)</f>
        <v>Delhi</v>
      </c>
      <c r="O191" s="35" t="str">
        <f aca="false">IF(E191="","Unknown",IF(E191&lt;=25,"18-25",IF(E191&lt;=35,"26-35",IF(E191&lt;=45,"36-45",IF(E191&lt;=55,"46-55","56-65")))))</f>
        <v>56-65</v>
      </c>
      <c r="P191" s="35" t="n">
        <f aca="false">COUNTIF($C$2:$C$1001,C191)</f>
        <v>1</v>
      </c>
      <c r="Q191" s="35" t="n">
        <f aca="false">IF(COUNTIF($C$2:C191,C191)=1,1,0)</f>
        <v>1</v>
      </c>
    </row>
    <row r="192" customFormat="false" ht="15" hidden="false" customHeight="false" outlineLevel="0" collapsed="false">
      <c r="A192" s="35" t="s">
        <v>787</v>
      </c>
      <c r="B192" s="64" t="n">
        <v>45714</v>
      </c>
      <c r="C192" s="35" t="s">
        <v>788</v>
      </c>
      <c r="D192" s="35" t="s">
        <v>789</v>
      </c>
      <c r="E192" s="35" t="n">
        <v>55</v>
      </c>
      <c r="F192" s="35" t="s">
        <v>235</v>
      </c>
      <c r="G192" s="35" t="s">
        <v>217</v>
      </c>
      <c r="H192" s="35" t="s">
        <v>209</v>
      </c>
      <c r="I192" s="35" t="s">
        <v>200</v>
      </c>
      <c r="J192" s="35" t="n">
        <v>4</v>
      </c>
      <c r="K192" s="65" t="n">
        <v>26460.39</v>
      </c>
      <c r="L192" s="65" t="n">
        <v>105841.56</v>
      </c>
      <c r="M192" s="66" t="n">
        <f aca="false">DATE(YEAR(B192),MONTH(B192),1)</f>
        <v>45689</v>
      </c>
      <c r="N192" s="35" t="str">
        <f aca="false">IF(G192="","Unknown",G192)</f>
        <v>Kolkata</v>
      </c>
      <c r="O192" s="35" t="str">
        <f aca="false">IF(E192="","Unknown",IF(E192&lt;=25,"18-25",IF(E192&lt;=35,"26-35",IF(E192&lt;=45,"36-45",IF(E192&lt;=55,"46-55","56-65")))))</f>
        <v>46-55</v>
      </c>
      <c r="P192" s="35" t="n">
        <f aca="false">COUNTIF($C$2:$C$1001,C192)</f>
        <v>1</v>
      </c>
      <c r="Q192" s="35" t="n">
        <f aca="false">IF(COUNTIF($C$2:C192,C192)=1,1,0)</f>
        <v>1</v>
      </c>
    </row>
    <row r="193" customFormat="false" ht="15" hidden="false" customHeight="false" outlineLevel="0" collapsed="false">
      <c r="A193" s="35" t="s">
        <v>790</v>
      </c>
      <c r="B193" s="64" t="n">
        <v>45813</v>
      </c>
      <c r="C193" s="35" t="s">
        <v>791</v>
      </c>
      <c r="D193" s="35" t="s">
        <v>722</v>
      </c>
      <c r="E193" s="35" t="n">
        <v>25</v>
      </c>
      <c r="F193" s="35" t="s">
        <v>234</v>
      </c>
      <c r="G193" s="35" t="s">
        <v>220</v>
      </c>
      <c r="H193" s="35" t="s">
        <v>208</v>
      </c>
      <c r="I193" s="35" t="s">
        <v>200</v>
      </c>
      <c r="J193" s="35" t="n">
        <v>6</v>
      </c>
      <c r="K193" s="65" t="n">
        <v>9132.85</v>
      </c>
      <c r="L193" s="65" t="n">
        <v>54797.1</v>
      </c>
      <c r="M193" s="66" t="n">
        <f aca="false">DATE(YEAR(B193),MONTH(B193),1)</f>
        <v>45809</v>
      </c>
      <c r="N193" s="35" t="str">
        <f aca="false">IF(G193="","Unknown",G193)</f>
        <v>Hyderabad</v>
      </c>
      <c r="O193" s="35" t="str">
        <f aca="false">IF(E193="","Unknown",IF(E193&lt;=25,"18-25",IF(E193&lt;=35,"26-35",IF(E193&lt;=45,"36-45",IF(E193&lt;=55,"46-55","56-65")))))</f>
        <v>18-25</v>
      </c>
      <c r="P193" s="35" t="n">
        <f aca="false">COUNTIF($C$2:$C$1001,C193)</f>
        <v>1</v>
      </c>
      <c r="Q193" s="35" t="n">
        <f aca="false">IF(COUNTIF($C$2:C193,C193)=1,1,0)</f>
        <v>1</v>
      </c>
    </row>
    <row r="194" customFormat="false" ht="15" hidden="false" customHeight="false" outlineLevel="0" collapsed="false">
      <c r="A194" s="35" t="s">
        <v>792</v>
      </c>
      <c r="B194" s="64" t="n">
        <v>45821</v>
      </c>
      <c r="C194" s="35" t="s">
        <v>793</v>
      </c>
      <c r="D194" s="35" t="s">
        <v>794</v>
      </c>
      <c r="E194" s="35" t="n">
        <v>24</v>
      </c>
      <c r="F194" s="35" t="s">
        <v>234</v>
      </c>
      <c r="G194" s="35" t="s">
        <v>222</v>
      </c>
      <c r="H194" s="35" t="s">
        <v>210</v>
      </c>
      <c r="I194" s="35" t="s">
        <v>201</v>
      </c>
      <c r="J194" s="35" t="n">
        <v>8</v>
      </c>
      <c r="K194" s="65" t="n">
        <v>34260.45</v>
      </c>
      <c r="L194" s="65" t="n">
        <v>274083.6</v>
      </c>
      <c r="M194" s="66" t="n">
        <f aca="false">DATE(YEAR(B194),MONTH(B194),1)</f>
        <v>45809</v>
      </c>
      <c r="N194" s="35" t="str">
        <f aca="false">IF(G194="","Unknown",G194)</f>
        <v>Pune</v>
      </c>
      <c r="O194" s="35" t="str">
        <f aca="false">IF(E194="","Unknown",IF(E194&lt;=25,"18-25",IF(E194&lt;=35,"26-35",IF(E194&lt;=45,"36-45",IF(E194&lt;=55,"46-55","56-65")))))</f>
        <v>18-25</v>
      </c>
      <c r="P194" s="35" t="n">
        <f aca="false">COUNTIF($C$2:$C$1001,C194)</f>
        <v>1</v>
      </c>
      <c r="Q194" s="35" t="n">
        <f aca="false">IF(COUNTIF($C$2:C194,C194)=1,1,0)</f>
        <v>1</v>
      </c>
    </row>
    <row r="195" customFormat="false" ht="15" hidden="false" customHeight="false" outlineLevel="0" collapsed="false">
      <c r="A195" s="35" t="s">
        <v>795</v>
      </c>
      <c r="B195" s="64" t="n">
        <v>45875</v>
      </c>
      <c r="C195" s="35" t="s">
        <v>796</v>
      </c>
      <c r="D195" s="35" t="s">
        <v>797</v>
      </c>
      <c r="E195" s="35" t="n">
        <v>41</v>
      </c>
      <c r="F195" s="35" t="s">
        <v>235</v>
      </c>
      <c r="G195" s="35" t="s">
        <v>222</v>
      </c>
      <c r="H195" s="35" t="s">
        <v>210</v>
      </c>
      <c r="I195" s="35" t="s">
        <v>201</v>
      </c>
      <c r="J195" s="35" t="n">
        <v>4</v>
      </c>
      <c r="K195" s="65" t="n">
        <v>22321.8</v>
      </c>
      <c r="L195" s="65" t="n">
        <v>89287.2</v>
      </c>
      <c r="M195" s="66" t="n">
        <f aca="false">DATE(YEAR(B195),MONTH(B195),1)</f>
        <v>45870</v>
      </c>
      <c r="N195" s="35" t="str">
        <f aca="false">IF(G195="","Unknown",G195)</f>
        <v>Pune</v>
      </c>
      <c r="O195" s="35" t="str">
        <f aca="false">IF(E195="","Unknown",IF(E195&lt;=25,"18-25",IF(E195&lt;=35,"26-35",IF(E195&lt;=45,"36-45",IF(E195&lt;=55,"46-55","56-65")))))</f>
        <v>36-45</v>
      </c>
      <c r="P195" s="35" t="n">
        <f aca="false">COUNTIF($C$2:$C$1001,C195)</f>
        <v>1</v>
      </c>
      <c r="Q195" s="35" t="n">
        <f aca="false">IF(COUNTIF($C$2:C195,C195)=1,1,0)</f>
        <v>1</v>
      </c>
    </row>
    <row r="196" customFormat="false" ht="15" hidden="false" customHeight="false" outlineLevel="0" collapsed="false">
      <c r="A196" s="35" t="s">
        <v>798</v>
      </c>
      <c r="B196" s="64" t="n">
        <v>45980</v>
      </c>
      <c r="C196" s="35" t="s">
        <v>799</v>
      </c>
      <c r="D196" s="35" t="s">
        <v>800</v>
      </c>
      <c r="E196" s="35" t="n">
        <v>61</v>
      </c>
      <c r="F196" s="35" t="s">
        <v>234</v>
      </c>
      <c r="G196" s="35" t="s">
        <v>219</v>
      </c>
      <c r="H196" s="35" t="s">
        <v>210</v>
      </c>
      <c r="I196" s="35" t="s">
        <v>201</v>
      </c>
      <c r="J196" s="35" t="n">
        <v>8</v>
      </c>
      <c r="K196" s="65" t="n">
        <v>27492.16</v>
      </c>
      <c r="L196" s="65" t="n">
        <v>219937.28</v>
      </c>
      <c r="M196" s="66" t="n">
        <f aca="false">DATE(YEAR(B196),MONTH(B196),1)</f>
        <v>45962</v>
      </c>
      <c r="N196" s="35" t="str">
        <f aca="false">IF(G196="","Unknown",G196)</f>
        <v>Mumbai</v>
      </c>
      <c r="O196" s="35" t="str">
        <f aca="false">IF(E196="","Unknown",IF(E196&lt;=25,"18-25",IF(E196&lt;=35,"26-35",IF(E196&lt;=45,"36-45",IF(E196&lt;=55,"46-55","56-65")))))</f>
        <v>56-65</v>
      </c>
      <c r="P196" s="35" t="n">
        <f aca="false">COUNTIF($C$2:$C$1001,C196)</f>
        <v>1</v>
      </c>
      <c r="Q196" s="35" t="n">
        <f aca="false">IF(COUNTIF($C$2:C196,C196)=1,1,0)</f>
        <v>1</v>
      </c>
    </row>
    <row r="197" customFormat="false" ht="15" hidden="false" customHeight="false" outlineLevel="0" collapsed="false">
      <c r="A197" s="35" t="s">
        <v>801</v>
      </c>
      <c r="B197" s="64" t="n">
        <v>45956</v>
      </c>
      <c r="C197" s="35" t="s">
        <v>802</v>
      </c>
      <c r="D197" s="35" t="s">
        <v>803</v>
      </c>
      <c r="E197" s="35" t="n">
        <v>23</v>
      </c>
      <c r="F197" s="35" t="s">
        <v>235</v>
      </c>
      <c r="G197" s="35" t="s">
        <v>221</v>
      </c>
      <c r="H197" s="35" t="s">
        <v>212</v>
      </c>
      <c r="I197" s="35" t="s">
        <v>203</v>
      </c>
      <c r="J197" s="35" t="n">
        <v>1</v>
      </c>
      <c r="K197" s="65" t="n">
        <v>35489.21</v>
      </c>
      <c r="L197" s="65" t="n">
        <v>35489.21</v>
      </c>
      <c r="M197" s="66" t="n">
        <f aca="false">DATE(YEAR(B197),MONTH(B197),1)</f>
        <v>45931</v>
      </c>
      <c r="N197" s="35" t="str">
        <f aca="false">IF(G197="","Unknown",G197)</f>
        <v>Delhi</v>
      </c>
      <c r="O197" s="35" t="str">
        <f aca="false">IF(E197="","Unknown",IF(E197&lt;=25,"18-25",IF(E197&lt;=35,"26-35",IF(E197&lt;=45,"36-45",IF(E197&lt;=55,"46-55","56-65")))))</f>
        <v>18-25</v>
      </c>
      <c r="P197" s="35" t="n">
        <f aca="false">COUNTIF($C$2:$C$1001,C197)</f>
        <v>1</v>
      </c>
      <c r="Q197" s="35" t="n">
        <f aca="false">IF(COUNTIF($C$2:C197,C197)=1,1,0)</f>
        <v>1</v>
      </c>
    </row>
    <row r="198" customFormat="false" ht="15" hidden="false" customHeight="false" outlineLevel="0" collapsed="false">
      <c r="A198" s="35" t="s">
        <v>804</v>
      </c>
      <c r="B198" s="64" t="n">
        <v>45696</v>
      </c>
      <c r="C198" s="35" t="s">
        <v>805</v>
      </c>
      <c r="D198" s="35" t="s">
        <v>806</v>
      </c>
      <c r="E198" s="35" t="n">
        <v>36</v>
      </c>
      <c r="F198" s="35" t="s">
        <v>234</v>
      </c>
      <c r="G198" s="35" t="s">
        <v>216</v>
      </c>
      <c r="H198" s="35" t="s">
        <v>208</v>
      </c>
      <c r="I198" s="35" t="s">
        <v>200</v>
      </c>
      <c r="J198" s="35" t="n">
        <v>8</v>
      </c>
      <c r="K198" s="65" t="n">
        <v>31510.55</v>
      </c>
      <c r="L198" s="65" t="n">
        <v>252084.4</v>
      </c>
      <c r="M198" s="66" t="n">
        <f aca="false">DATE(YEAR(B198),MONTH(B198),1)</f>
        <v>45689</v>
      </c>
      <c r="N198" s="35" t="str">
        <f aca="false">IF(G198="","Unknown",G198)</f>
        <v>Patna</v>
      </c>
      <c r="O198" s="35" t="str">
        <f aca="false">IF(E198="","Unknown",IF(E198&lt;=25,"18-25",IF(E198&lt;=35,"26-35",IF(E198&lt;=45,"36-45",IF(E198&lt;=55,"46-55","56-65")))))</f>
        <v>36-45</v>
      </c>
      <c r="P198" s="35" t="n">
        <f aca="false">COUNTIF($C$2:$C$1001,C198)</f>
        <v>1</v>
      </c>
      <c r="Q198" s="35" t="n">
        <f aca="false">IF(COUNTIF($C$2:C198,C198)=1,1,0)</f>
        <v>1</v>
      </c>
    </row>
    <row r="199" customFormat="false" ht="15" hidden="false" customHeight="false" outlineLevel="0" collapsed="false">
      <c r="A199" s="35" t="s">
        <v>807</v>
      </c>
      <c r="B199" s="64" t="n">
        <v>45661</v>
      </c>
      <c r="C199" s="35" t="s">
        <v>808</v>
      </c>
      <c r="D199" s="35" t="s">
        <v>809</v>
      </c>
      <c r="E199" s="35" t="n">
        <v>38</v>
      </c>
      <c r="F199" s="35" t="s">
        <v>234</v>
      </c>
      <c r="G199" s="35" t="s">
        <v>216</v>
      </c>
      <c r="H199" s="35" t="s">
        <v>209</v>
      </c>
      <c r="I199" s="35" t="s">
        <v>200</v>
      </c>
      <c r="J199" s="35" t="n">
        <v>1</v>
      </c>
      <c r="K199" s="65" t="n">
        <v>16633.85</v>
      </c>
      <c r="L199" s="65" t="n">
        <v>16633.85</v>
      </c>
      <c r="M199" s="66" t="n">
        <f aca="false">DATE(YEAR(B199),MONTH(B199),1)</f>
        <v>45658</v>
      </c>
      <c r="N199" s="35" t="str">
        <f aca="false">IF(G199="","Unknown",G199)</f>
        <v>Patna</v>
      </c>
      <c r="O199" s="35" t="str">
        <f aca="false">IF(E199="","Unknown",IF(E199&lt;=25,"18-25",IF(E199&lt;=35,"26-35",IF(E199&lt;=45,"36-45",IF(E199&lt;=55,"46-55","56-65")))))</f>
        <v>36-45</v>
      </c>
      <c r="P199" s="35" t="n">
        <f aca="false">COUNTIF($C$2:$C$1001,C199)</f>
        <v>1</v>
      </c>
      <c r="Q199" s="35" t="n">
        <f aca="false">IF(COUNTIF($C$2:C199,C199)=1,1,0)</f>
        <v>1</v>
      </c>
    </row>
    <row r="200" customFormat="false" ht="15" hidden="false" customHeight="false" outlineLevel="0" collapsed="false">
      <c r="A200" s="35" t="s">
        <v>810</v>
      </c>
      <c r="B200" s="64" t="n">
        <v>45712</v>
      </c>
      <c r="C200" s="35" t="s">
        <v>811</v>
      </c>
      <c r="D200" s="35" t="s">
        <v>812</v>
      </c>
      <c r="E200" s="35"/>
      <c r="F200" s="35" t="s">
        <v>235</v>
      </c>
      <c r="G200" s="35" t="s">
        <v>217</v>
      </c>
      <c r="H200" s="35" t="s">
        <v>211</v>
      </c>
      <c r="I200" s="35" t="s">
        <v>202</v>
      </c>
      <c r="J200" s="35" t="n">
        <v>8</v>
      </c>
      <c r="K200" s="65" t="n">
        <v>27608.55</v>
      </c>
      <c r="L200" s="65" t="n">
        <v>220868.4</v>
      </c>
      <c r="M200" s="66" t="n">
        <f aca="false">DATE(YEAR(B200),MONTH(B200),1)</f>
        <v>45689</v>
      </c>
      <c r="N200" s="35" t="str">
        <f aca="false">IF(G200="","Unknown",G200)</f>
        <v>Kolkata</v>
      </c>
      <c r="O200" s="35" t="str">
        <f aca="false">IF(E200="","Unknown",IF(E200&lt;=25,"18-25",IF(E200&lt;=35,"26-35",IF(E200&lt;=45,"36-45",IF(E200&lt;=55,"46-55","56-65")))))</f>
        <v>Unknown</v>
      </c>
      <c r="P200" s="35" t="n">
        <f aca="false">COUNTIF($C$2:$C$1001,C200)</f>
        <v>1</v>
      </c>
      <c r="Q200" s="35" t="n">
        <f aca="false">IF(COUNTIF($C$2:C200,C200)=1,1,0)</f>
        <v>1</v>
      </c>
    </row>
    <row r="201" customFormat="false" ht="15" hidden="false" customHeight="false" outlineLevel="0" collapsed="false">
      <c r="A201" s="35" t="s">
        <v>813</v>
      </c>
      <c r="B201" s="64" t="n">
        <v>46014</v>
      </c>
      <c r="C201" s="35" t="s">
        <v>814</v>
      </c>
      <c r="D201" s="35" t="s">
        <v>815</v>
      </c>
      <c r="E201" s="35" t="n">
        <v>44</v>
      </c>
      <c r="F201" s="35" t="s">
        <v>235</v>
      </c>
      <c r="G201" s="35" t="s">
        <v>216</v>
      </c>
      <c r="H201" s="35" t="s">
        <v>211</v>
      </c>
      <c r="I201" s="35" t="s">
        <v>202</v>
      </c>
      <c r="J201" s="35" t="n">
        <v>7</v>
      </c>
      <c r="K201" s="65" t="n">
        <v>25521.26</v>
      </c>
      <c r="L201" s="65" t="n">
        <v>178648.82</v>
      </c>
      <c r="M201" s="66" t="n">
        <f aca="false">DATE(YEAR(B201),MONTH(B201),1)</f>
        <v>45992</v>
      </c>
      <c r="N201" s="35" t="str">
        <f aca="false">IF(G201="","Unknown",G201)</f>
        <v>Patna</v>
      </c>
      <c r="O201" s="35" t="str">
        <f aca="false">IF(E201="","Unknown",IF(E201&lt;=25,"18-25",IF(E201&lt;=35,"26-35",IF(E201&lt;=45,"36-45",IF(E201&lt;=55,"46-55","56-65")))))</f>
        <v>36-45</v>
      </c>
      <c r="P201" s="35" t="n">
        <f aca="false">COUNTIF($C$2:$C$1001,C201)</f>
        <v>1</v>
      </c>
      <c r="Q201" s="35" t="n">
        <f aca="false">IF(COUNTIF($C$2:C201,C201)=1,1,0)</f>
        <v>1</v>
      </c>
    </row>
    <row r="202" customFormat="false" ht="15" hidden="false" customHeight="false" outlineLevel="0" collapsed="false">
      <c r="A202" s="35" t="s">
        <v>816</v>
      </c>
      <c r="B202" s="64" t="n">
        <v>45714</v>
      </c>
      <c r="C202" s="35" t="s">
        <v>817</v>
      </c>
      <c r="D202" s="35" t="s">
        <v>818</v>
      </c>
      <c r="E202" s="35" t="n">
        <v>59</v>
      </c>
      <c r="F202" s="35" t="s">
        <v>235</v>
      </c>
      <c r="G202" s="35" t="s">
        <v>216</v>
      </c>
      <c r="H202" s="35" t="s">
        <v>209</v>
      </c>
      <c r="I202" s="35" t="s">
        <v>200</v>
      </c>
      <c r="J202" s="35" t="n">
        <v>4</v>
      </c>
      <c r="K202" s="65" t="n">
        <v>35658.89</v>
      </c>
      <c r="L202" s="65" t="n">
        <v>142635.56</v>
      </c>
      <c r="M202" s="66" t="n">
        <f aca="false">DATE(YEAR(B202),MONTH(B202),1)</f>
        <v>45689</v>
      </c>
      <c r="N202" s="35" t="str">
        <f aca="false">IF(G202="","Unknown",G202)</f>
        <v>Patna</v>
      </c>
      <c r="O202" s="35" t="str">
        <f aca="false">IF(E202="","Unknown",IF(E202&lt;=25,"18-25",IF(E202&lt;=35,"26-35",IF(E202&lt;=45,"36-45",IF(E202&lt;=55,"46-55","56-65")))))</f>
        <v>56-65</v>
      </c>
      <c r="P202" s="35" t="n">
        <f aca="false">COUNTIF($C$2:$C$1001,C202)</f>
        <v>1</v>
      </c>
      <c r="Q202" s="35" t="n">
        <f aca="false">IF(COUNTIF($C$2:C202,C202)=1,1,0)</f>
        <v>1</v>
      </c>
    </row>
    <row r="203" customFormat="false" ht="15" hidden="false" customHeight="false" outlineLevel="0" collapsed="false">
      <c r="A203" s="35" t="s">
        <v>819</v>
      </c>
      <c r="B203" s="64" t="n">
        <v>45726</v>
      </c>
      <c r="C203" s="35" t="s">
        <v>820</v>
      </c>
      <c r="D203" s="35" t="s">
        <v>821</v>
      </c>
      <c r="E203" s="35" t="n">
        <v>61</v>
      </c>
      <c r="F203" s="35" t="s">
        <v>235</v>
      </c>
      <c r="G203" s="35" t="s">
        <v>220</v>
      </c>
      <c r="H203" s="35" t="s">
        <v>208</v>
      </c>
      <c r="I203" s="35" t="s">
        <v>200</v>
      </c>
      <c r="J203" s="35" t="n">
        <v>8</v>
      </c>
      <c r="K203" s="65" t="n">
        <v>18088.02</v>
      </c>
      <c r="L203" s="65" t="n">
        <v>144704.16</v>
      </c>
      <c r="M203" s="66" t="n">
        <f aca="false">DATE(YEAR(B203),MONTH(B203),1)</f>
        <v>45717</v>
      </c>
      <c r="N203" s="35" t="str">
        <f aca="false">IF(G203="","Unknown",G203)</f>
        <v>Hyderabad</v>
      </c>
      <c r="O203" s="35" t="str">
        <f aca="false">IF(E203="","Unknown",IF(E203&lt;=25,"18-25",IF(E203&lt;=35,"26-35",IF(E203&lt;=45,"36-45",IF(E203&lt;=55,"46-55","56-65")))))</f>
        <v>56-65</v>
      </c>
      <c r="P203" s="35" t="n">
        <f aca="false">COUNTIF($C$2:$C$1001,C203)</f>
        <v>2</v>
      </c>
      <c r="Q203" s="35" t="n">
        <f aca="false">IF(COUNTIF($C$2:C203,C203)=1,1,0)</f>
        <v>1</v>
      </c>
    </row>
    <row r="204" customFormat="false" ht="15" hidden="false" customHeight="false" outlineLevel="0" collapsed="false">
      <c r="A204" s="35" t="s">
        <v>822</v>
      </c>
      <c r="B204" s="64" t="n">
        <v>46007</v>
      </c>
      <c r="C204" s="35" t="s">
        <v>823</v>
      </c>
      <c r="D204" s="35" t="s">
        <v>824</v>
      </c>
      <c r="E204" s="35" t="n">
        <v>52</v>
      </c>
      <c r="F204" s="35" t="s">
        <v>235</v>
      </c>
      <c r="G204" s="35" t="s">
        <v>219</v>
      </c>
      <c r="H204" s="35" t="s">
        <v>210</v>
      </c>
      <c r="I204" s="35" t="s">
        <v>201</v>
      </c>
      <c r="J204" s="35" t="n">
        <v>3</v>
      </c>
      <c r="K204" s="65" t="n">
        <v>16041.29</v>
      </c>
      <c r="L204" s="65" t="n">
        <v>48123.87</v>
      </c>
      <c r="M204" s="66" t="n">
        <f aca="false">DATE(YEAR(B204),MONTH(B204),1)</f>
        <v>45992</v>
      </c>
      <c r="N204" s="35" t="str">
        <f aca="false">IF(G204="","Unknown",G204)</f>
        <v>Mumbai</v>
      </c>
      <c r="O204" s="35" t="str">
        <f aca="false">IF(E204="","Unknown",IF(E204&lt;=25,"18-25",IF(E204&lt;=35,"26-35",IF(E204&lt;=45,"36-45",IF(E204&lt;=55,"46-55","56-65")))))</f>
        <v>46-55</v>
      </c>
      <c r="P204" s="35" t="n">
        <f aca="false">COUNTIF($C$2:$C$1001,C204)</f>
        <v>1</v>
      </c>
      <c r="Q204" s="35" t="n">
        <f aca="false">IF(COUNTIF($C$2:C204,C204)=1,1,0)</f>
        <v>1</v>
      </c>
    </row>
    <row r="205" customFormat="false" ht="15" hidden="false" customHeight="false" outlineLevel="0" collapsed="false">
      <c r="A205" s="35" t="s">
        <v>825</v>
      </c>
      <c r="B205" s="64" t="n">
        <v>45714</v>
      </c>
      <c r="C205" s="35" t="s">
        <v>826</v>
      </c>
      <c r="D205" s="35" t="s">
        <v>827</v>
      </c>
      <c r="E205" s="35" t="n">
        <v>59</v>
      </c>
      <c r="F205" s="35" t="s">
        <v>235</v>
      </c>
      <c r="G205" s="35" t="s">
        <v>217</v>
      </c>
      <c r="H205" s="35" t="s">
        <v>212</v>
      </c>
      <c r="I205" s="35" t="s">
        <v>203</v>
      </c>
      <c r="J205" s="35" t="n">
        <v>9</v>
      </c>
      <c r="K205" s="65" t="n">
        <v>16533.74</v>
      </c>
      <c r="L205" s="65" t="n">
        <v>148803.66</v>
      </c>
      <c r="M205" s="66" t="n">
        <f aca="false">DATE(YEAR(B205),MONTH(B205),1)</f>
        <v>45689</v>
      </c>
      <c r="N205" s="35" t="str">
        <f aca="false">IF(G205="","Unknown",G205)</f>
        <v>Kolkata</v>
      </c>
      <c r="O205" s="35" t="str">
        <f aca="false">IF(E205="","Unknown",IF(E205&lt;=25,"18-25",IF(E205&lt;=35,"26-35",IF(E205&lt;=45,"36-45",IF(E205&lt;=55,"46-55","56-65")))))</f>
        <v>56-65</v>
      </c>
      <c r="P205" s="35" t="n">
        <f aca="false">COUNTIF($C$2:$C$1001,C205)</f>
        <v>1</v>
      </c>
      <c r="Q205" s="35" t="n">
        <f aca="false">IF(COUNTIF($C$2:C205,C205)=1,1,0)</f>
        <v>1</v>
      </c>
    </row>
    <row r="206" customFormat="false" ht="15" hidden="false" customHeight="false" outlineLevel="0" collapsed="false">
      <c r="A206" s="35" t="s">
        <v>828</v>
      </c>
      <c r="B206" s="64" t="n">
        <v>45725</v>
      </c>
      <c r="C206" s="35" t="s">
        <v>829</v>
      </c>
      <c r="D206" s="35" t="s">
        <v>830</v>
      </c>
      <c r="E206" s="35" t="n">
        <v>55</v>
      </c>
      <c r="F206" s="35" t="s">
        <v>235</v>
      </c>
      <c r="G206" s="35" t="s">
        <v>220</v>
      </c>
      <c r="H206" s="35" t="s">
        <v>210</v>
      </c>
      <c r="I206" s="35" t="s">
        <v>201</v>
      </c>
      <c r="J206" s="35" t="n">
        <v>1</v>
      </c>
      <c r="K206" s="65" t="n">
        <v>16714.64</v>
      </c>
      <c r="L206" s="65" t="n">
        <v>16714.64</v>
      </c>
      <c r="M206" s="66" t="n">
        <f aca="false">DATE(YEAR(B206),MONTH(B206),1)</f>
        <v>45717</v>
      </c>
      <c r="N206" s="35" t="str">
        <f aca="false">IF(G206="","Unknown",G206)</f>
        <v>Hyderabad</v>
      </c>
      <c r="O206" s="35" t="str">
        <f aca="false">IF(E206="","Unknown",IF(E206&lt;=25,"18-25",IF(E206&lt;=35,"26-35",IF(E206&lt;=45,"36-45",IF(E206&lt;=55,"46-55","56-65")))))</f>
        <v>46-55</v>
      </c>
      <c r="P206" s="35" t="n">
        <f aca="false">COUNTIF($C$2:$C$1001,C206)</f>
        <v>1</v>
      </c>
      <c r="Q206" s="35" t="n">
        <f aca="false">IF(COUNTIF($C$2:C206,C206)=1,1,0)</f>
        <v>1</v>
      </c>
    </row>
    <row r="207" customFormat="false" ht="15" hidden="false" customHeight="false" outlineLevel="0" collapsed="false">
      <c r="A207" s="35" t="s">
        <v>831</v>
      </c>
      <c r="B207" s="64" t="n">
        <v>45899</v>
      </c>
      <c r="C207" s="35" t="s">
        <v>832</v>
      </c>
      <c r="D207" s="35" t="s">
        <v>833</v>
      </c>
      <c r="E207" s="35" t="n">
        <v>45</v>
      </c>
      <c r="F207" s="35" t="s">
        <v>234</v>
      </c>
      <c r="G207" s="35" t="s">
        <v>223</v>
      </c>
      <c r="H207" s="35" t="s">
        <v>211</v>
      </c>
      <c r="I207" s="35" t="s">
        <v>202</v>
      </c>
      <c r="J207" s="35" t="n">
        <v>4</v>
      </c>
      <c r="K207" s="65" t="n">
        <v>46356.08</v>
      </c>
      <c r="L207" s="65" t="n">
        <v>185424.32</v>
      </c>
      <c r="M207" s="66" t="n">
        <f aca="false">DATE(YEAR(B207),MONTH(B207),1)</f>
        <v>45870</v>
      </c>
      <c r="N207" s="35" t="str">
        <f aca="false">IF(G207="","Unknown",G207)</f>
        <v>Gaya</v>
      </c>
      <c r="O207" s="35" t="str">
        <f aca="false">IF(E207="","Unknown",IF(E207&lt;=25,"18-25",IF(E207&lt;=35,"26-35",IF(E207&lt;=45,"36-45",IF(E207&lt;=55,"46-55","56-65")))))</f>
        <v>36-45</v>
      </c>
      <c r="P207" s="35" t="n">
        <f aca="false">COUNTIF($C$2:$C$1001,C207)</f>
        <v>1</v>
      </c>
      <c r="Q207" s="35" t="n">
        <f aca="false">IF(COUNTIF($C$2:C207,C207)=1,1,0)</f>
        <v>1</v>
      </c>
    </row>
    <row r="208" customFormat="false" ht="15" hidden="false" customHeight="false" outlineLevel="0" collapsed="false">
      <c r="A208" s="35" t="s">
        <v>834</v>
      </c>
      <c r="B208" s="64" t="n">
        <v>45713</v>
      </c>
      <c r="C208" s="35" t="s">
        <v>835</v>
      </c>
      <c r="D208" s="35" t="s">
        <v>836</v>
      </c>
      <c r="E208" s="35" t="n">
        <v>31</v>
      </c>
      <c r="F208" s="35" t="s">
        <v>234</v>
      </c>
      <c r="G208" s="35" t="s">
        <v>217</v>
      </c>
      <c r="H208" s="35" t="s">
        <v>213</v>
      </c>
      <c r="I208" s="35" t="s">
        <v>204</v>
      </c>
      <c r="J208" s="35" t="n">
        <v>8</v>
      </c>
      <c r="K208" s="65" t="n">
        <v>2636.28</v>
      </c>
      <c r="L208" s="65" t="n">
        <v>21090.24</v>
      </c>
      <c r="M208" s="66" t="n">
        <f aca="false">DATE(YEAR(B208),MONTH(B208),1)</f>
        <v>45689</v>
      </c>
      <c r="N208" s="35" t="str">
        <f aca="false">IF(G208="","Unknown",G208)</f>
        <v>Kolkata</v>
      </c>
      <c r="O208" s="35" t="str">
        <f aca="false">IF(E208="","Unknown",IF(E208&lt;=25,"18-25",IF(E208&lt;=35,"26-35",IF(E208&lt;=45,"36-45",IF(E208&lt;=55,"46-55","56-65")))))</f>
        <v>26-35</v>
      </c>
      <c r="P208" s="35" t="n">
        <f aca="false">COUNTIF($C$2:$C$1001,C208)</f>
        <v>1</v>
      </c>
      <c r="Q208" s="35" t="n">
        <f aca="false">IF(COUNTIF($C$2:C208,C208)=1,1,0)</f>
        <v>1</v>
      </c>
    </row>
    <row r="209" customFormat="false" ht="15" hidden="false" customHeight="false" outlineLevel="0" collapsed="false">
      <c r="A209" s="35" t="s">
        <v>837</v>
      </c>
      <c r="B209" s="64" t="n">
        <v>45752</v>
      </c>
      <c r="C209" s="35" t="s">
        <v>838</v>
      </c>
      <c r="D209" s="35" t="s">
        <v>839</v>
      </c>
      <c r="E209" s="35" t="n">
        <v>40</v>
      </c>
      <c r="F209" s="35" t="s">
        <v>235</v>
      </c>
      <c r="G209" s="35" t="s">
        <v>217</v>
      </c>
      <c r="H209" s="35" t="s">
        <v>209</v>
      </c>
      <c r="I209" s="35" t="s">
        <v>200</v>
      </c>
      <c r="J209" s="35" t="n">
        <v>6</v>
      </c>
      <c r="K209" s="65" t="n">
        <v>34808.76</v>
      </c>
      <c r="L209" s="65" t="n">
        <v>208852.56</v>
      </c>
      <c r="M209" s="66" t="n">
        <f aca="false">DATE(YEAR(B209),MONTH(B209),1)</f>
        <v>45748</v>
      </c>
      <c r="N209" s="35" t="str">
        <f aca="false">IF(G209="","Unknown",G209)</f>
        <v>Kolkata</v>
      </c>
      <c r="O209" s="35" t="str">
        <f aca="false">IF(E209="","Unknown",IF(E209&lt;=25,"18-25",IF(E209&lt;=35,"26-35",IF(E209&lt;=45,"36-45",IF(E209&lt;=55,"46-55","56-65")))))</f>
        <v>36-45</v>
      </c>
      <c r="P209" s="35" t="n">
        <f aca="false">COUNTIF($C$2:$C$1001,C209)</f>
        <v>1</v>
      </c>
      <c r="Q209" s="35" t="n">
        <f aca="false">IF(COUNTIF($C$2:C209,C209)=1,1,0)</f>
        <v>1</v>
      </c>
    </row>
    <row r="210" customFormat="false" ht="15" hidden="false" customHeight="false" outlineLevel="0" collapsed="false">
      <c r="A210" s="35" t="s">
        <v>840</v>
      </c>
      <c r="B210" s="64" t="n">
        <v>45894</v>
      </c>
      <c r="C210" s="35" t="s">
        <v>841</v>
      </c>
      <c r="D210" s="35" t="s">
        <v>842</v>
      </c>
      <c r="E210" s="35" t="n">
        <v>44</v>
      </c>
      <c r="F210" s="35" t="s">
        <v>235</v>
      </c>
      <c r="G210" s="35" t="s">
        <v>220</v>
      </c>
      <c r="H210" s="35" t="s">
        <v>213</v>
      </c>
      <c r="I210" s="35" t="s">
        <v>204</v>
      </c>
      <c r="J210" s="35" t="n">
        <v>10</v>
      </c>
      <c r="K210" s="65" t="n">
        <v>17713.87</v>
      </c>
      <c r="L210" s="65" t="n">
        <v>177138.7</v>
      </c>
      <c r="M210" s="66" t="n">
        <f aca="false">DATE(YEAR(B210),MONTH(B210),1)</f>
        <v>45870</v>
      </c>
      <c r="N210" s="35" t="str">
        <f aca="false">IF(G210="","Unknown",G210)</f>
        <v>Hyderabad</v>
      </c>
      <c r="O210" s="35" t="str">
        <f aca="false">IF(E210="","Unknown",IF(E210&lt;=25,"18-25",IF(E210&lt;=35,"26-35",IF(E210&lt;=45,"36-45",IF(E210&lt;=55,"46-55","56-65")))))</f>
        <v>36-45</v>
      </c>
      <c r="P210" s="35" t="n">
        <f aca="false">COUNTIF($C$2:$C$1001,C210)</f>
        <v>1</v>
      </c>
      <c r="Q210" s="35" t="n">
        <f aca="false">IF(COUNTIF($C$2:C210,C210)=1,1,0)</f>
        <v>1</v>
      </c>
    </row>
    <row r="211" customFormat="false" ht="15" hidden="false" customHeight="false" outlineLevel="0" collapsed="false">
      <c r="A211" s="35" t="s">
        <v>843</v>
      </c>
      <c r="B211" s="64" t="n">
        <v>45763</v>
      </c>
      <c r="C211" s="35" t="s">
        <v>844</v>
      </c>
      <c r="D211" s="35" t="s">
        <v>546</v>
      </c>
      <c r="E211" s="35" t="n">
        <v>55</v>
      </c>
      <c r="F211" s="35" t="s">
        <v>235</v>
      </c>
      <c r="G211" s="35" t="s">
        <v>218</v>
      </c>
      <c r="H211" s="35" t="s">
        <v>210</v>
      </c>
      <c r="I211" s="35" t="s">
        <v>201</v>
      </c>
      <c r="J211" s="35" t="n">
        <v>3</v>
      </c>
      <c r="K211" s="65" t="n">
        <v>4421.33</v>
      </c>
      <c r="L211" s="65" t="n">
        <v>13263.99</v>
      </c>
      <c r="M211" s="66" t="n">
        <f aca="false">DATE(YEAR(B211),MONTH(B211),1)</f>
        <v>45748</v>
      </c>
      <c r="N211" s="35" t="str">
        <f aca="false">IF(G211="","Unknown",G211)</f>
        <v>Bengaluru</v>
      </c>
      <c r="O211" s="35" t="str">
        <f aca="false">IF(E211="","Unknown",IF(E211&lt;=25,"18-25",IF(E211&lt;=35,"26-35",IF(E211&lt;=45,"36-45",IF(E211&lt;=55,"46-55","56-65")))))</f>
        <v>46-55</v>
      </c>
      <c r="P211" s="35" t="n">
        <f aca="false">COUNTIF($C$2:$C$1001,C211)</f>
        <v>2</v>
      </c>
      <c r="Q211" s="35" t="n">
        <f aca="false">IF(COUNTIF($C$2:C211,C211)=1,1,0)</f>
        <v>1</v>
      </c>
    </row>
    <row r="212" customFormat="false" ht="15" hidden="false" customHeight="false" outlineLevel="0" collapsed="false">
      <c r="A212" s="35" t="s">
        <v>845</v>
      </c>
      <c r="B212" s="64" t="n">
        <v>45757</v>
      </c>
      <c r="C212" s="35" t="s">
        <v>846</v>
      </c>
      <c r="D212" s="35" t="s">
        <v>847</v>
      </c>
      <c r="E212" s="35" t="n">
        <v>20</v>
      </c>
      <c r="F212" s="35" t="s">
        <v>234</v>
      </c>
      <c r="G212" s="35" t="s">
        <v>216</v>
      </c>
      <c r="H212" s="35" t="s">
        <v>212</v>
      </c>
      <c r="I212" s="35" t="s">
        <v>203</v>
      </c>
      <c r="J212" s="35" t="n">
        <v>1</v>
      </c>
      <c r="K212" s="65" t="n">
        <v>49067.82</v>
      </c>
      <c r="L212" s="65" t="n">
        <v>49067.82</v>
      </c>
      <c r="M212" s="66" t="n">
        <f aca="false">DATE(YEAR(B212),MONTH(B212),1)</f>
        <v>45748</v>
      </c>
      <c r="N212" s="35" t="str">
        <f aca="false">IF(G212="","Unknown",G212)</f>
        <v>Patna</v>
      </c>
      <c r="O212" s="35" t="str">
        <f aca="false">IF(E212="","Unknown",IF(E212&lt;=25,"18-25",IF(E212&lt;=35,"26-35",IF(E212&lt;=45,"36-45",IF(E212&lt;=55,"46-55","56-65")))))</f>
        <v>18-25</v>
      </c>
      <c r="P212" s="35" t="n">
        <f aca="false">COUNTIF($C$2:$C$1001,C212)</f>
        <v>1</v>
      </c>
      <c r="Q212" s="35" t="n">
        <f aca="false">IF(COUNTIF($C$2:C212,C212)=1,1,0)</f>
        <v>1</v>
      </c>
    </row>
    <row r="213" customFormat="false" ht="15" hidden="false" customHeight="false" outlineLevel="0" collapsed="false">
      <c r="A213" s="35" t="s">
        <v>848</v>
      </c>
      <c r="B213" s="64" t="n">
        <v>45970</v>
      </c>
      <c r="C213" s="35" t="s">
        <v>849</v>
      </c>
      <c r="D213" s="35" t="s">
        <v>850</v>
      </c>
      <c r="E213" s="35" t="n">
        <v>34</v>
      </c>
      <c r="F213" s="35" t="s">
        <v>235</v>
      </c>
      <c r="G213" s="35" t="s">
        <v>219</v>
      </c>
      <c r="H213" s="35" t="s">
        <v>209</v>
      </c>
      <c r="I213" s="35" t="s">
        <v>200</v>
      </c>
      <c r="J213" s="35" t="n">
        <v>6</v>
      </c>
      <c r="K213" s="65" t="n">
        <v>18644.18</v>
      </c>
      <c r="L213" s="65" t="n">
        <v>111865.08</v>
      </c>
      <c r="M213" s="66" t="n">
        <f aca="false">DATE(YEAR(B213),MONTH(B213),1)</f>
        <v>45962</v>
      </c>
      <c r="N213" s="35" t="str">
        <f aca="false">IF(G213="","Unknown",G213)</f>
        <v>Mumbai</v>
      </c>
      <c r="O213" s="35" t="str">
        <f aca="false">IF(E213="","Unknown",IF(E213&lt;=25,"18-25",IF(E213&lt;=35,"26-35",IF(E213&lt;=45,"36-45",IF(E213&lt;=55,"46-55","56-65")))))</f>
        <v>26-35</v>
      </c>
      <c r="P213" s="35" t="n">
        <f aca="false">COUNTIF($C$2:$C$1001,C213)</f>
        <v>1</v>
      </c>
      <c r="Q213" s="35" t="n">
        <f aca="false">IF(COUNTIF($C$2:C213,C213)=1,1,0)</f>
        <v>1</v>
      </c>
    </row>
    <row r="214" customFormat="false" ht="15" hidden="false" customHeight="false" outlineLevel="0" collapsed="false">
      <c r="A214" s="35" t="s">
        <v>851</v>
      </c>
      <c r="B214" s="64" t="n">
        <v>45894</v>
      </c>
      <c r="C214" s="35" t="s">
        <v>852</v>
      </c>
      <c r="D214" s="35" t="s">
        <v>488</v>
      </c>
      <c r="E214" s="35" t="n">
        <v>37</v>
      </c>
      <c r="F214" s="35" t="s">
        <v>235</v>
      </c>
      <c r="G214" s="35" t="s">
        <v>221</v>
      </c>
      <c r="H214" s="35" t="s">
        <v>208</v>
      </c>
      <c r="I214" s="35" t="s">
        <v>200</v>
      </c>
      <c r="J214" s="35" t="n">
        <v>9</v>
      </c>
      <c r="K214" s="65" t="n">
        <v>14462.81</v>
      </c>
      <c r="L214" s="65" t="n">
        <v>130165.29</v>
      </c>
      <c r="M214" s="66" t="n">
        <f aca="false">DATE(YEAR(B214),MONTH(B214),1)</f>
        <v>45870</v>
      </c>
      <c r="N214" s="35" t="str">
        <f aca="false">IF(G214="","Unknown",G214)</f>
        <v>Delhi</v>
      </c>
      <c r="O214" s="35" t="str">
        <f aca="false">IF(E214="","Unknown",IF(E214&lt;=25,"18-25",IF(E214&lt;=35,"26-35",IF(E214&lt;=45,"36-45",IF(E214&lt;=55,"46-55","56-65")))))</f>
        <v>36-45</v>
      </c>
      <c r="P214" s="35" t="n">
        <f aca="false">COUNTIF($C$2:$C$1001,C214)</f>
        <v>1</v>
      </c>
      <c r="Q214" s="35" t="n">
        <f aca="false">IF(COUNTIF($C$2:C214,C214)=1,1,0)</f>
        <v>1</v>
      </c>
    </row>
    <row r="215" customFormat="false" ht="15" hidden="false" customHeight="false" outlineLevel="0" collapsed="false">
      <c r="A215" s="35" t="s">
        <v>853</v>
      </c>
      <c r="B215" s="64" t="n">
        <v>45856</v>
      </c>
      <c r="C215" s="35" t="s">
        <v>854</v>
      </c>
      <c r="D215" s="35" t="s">
        <v>418</v>
      </c>
      <c r="E215" s="35" t="n">
        <v>43</v>
      </c>
      <c r="F215" s="35" t="s">
        <v>235</v>
      </c>
      <c r="G215" s="35" t="s">
        <v>220</v>
      </c>
      <c r="H215" s="35" t="s">
        <v>213</v>
      </c>
      <c r="I215" s="35" t="s">
        <v>204</v>
      </c>
      <c r="J215" s="35" t="n">
        <v>1</v>
      </c>
      <c r="K215" s="65" t="n">
        <v>29838.32</v>
      </c>
      <c r="L215" s="65" t="n">
        <v>29838.32</v>
      </c>
      <c r="M215" s="66" t="n">
        <f aca="false">DATE(YEAR(B215),MONTH(B215),1)</f>
        <v>45839</v>
      </c>
      <c r="N215" s="35" t="str">
        <f aca="false">IF(G215="","Unknown",G215)</f>
        <v>Hyderabad</v>
      </c>
      <c r="O215" s="35" t="str">
        <f aca="false">IF(E215="","Unknown",IF(E215&lt;=25,"18-25",IF(E215&lt;=35,"26-35",IF(E215&lt;=45,"36-45",IF(E215&lt;=55,"46-55","56-65")))))</f>
        <v>36-45</v>
      </c>
      <c r="P215" s="35" t="n">
        <f aca="false">COUNTIF($C$2:$C$1001,C215)</f>
        <v>1</v>
      </c>
      <c r="Q215" s="35" t="n">
        <f aca="false">IF(COUNTIF($C$2:C215,C215)=1,1,0)</f>
        <v>1</v>
      </c>
    </row>
    <row r="216" customFormat="false" ht="15" hidden="false" customHeight="false" outlineLevel="0" collapsed="false">
      <c r="A216" s="35" t="s">
        <v>855</v>
      </c>
      <c r="B216" s="64" t="n">
        <v>45736</v>
      </c>
      <c r="C216" s="35" t="s">
        <v>856</v>
      </c>
      <c r="D216" s="35" t="s">
        <v>857</v>
      </c>
      <c r="E216" s="35" t="n">
        <v>23</v>
      </c>
      <c r="F216" s="35" t="s">
        <v>234</v>
      </c>
      <c r="G216" s="35" t="s">
        <v>221</v>
      </c>
      <c r="H216" s="35" t="s">
        <v>211</v>
      </c>
      <c r="I216" s="35" t="s">
        <v>202</v>
      </c>
      <c r="J216" s="35" t="n">
        <v>5</v>
      </c>
      <c r="K216" s="65" t="n">
        <v>9508.4</v>
      </c>
      <c r="L216" s="65" t="n">
        <v>47542</v>
      </c>
      <c r="M216" s="66" t="n">
        <f aca="false">DATE(YEAR(B216),MONTH(B216),1)</f>
        <v>45717</v>
      </c>
      <c r="N216" s="35" t="str">
        <f aca="false">IF(G216="","Unknown",G216)</f>
        <v>Delhi</v>
      </c>
      <c r="O216" s="35" t="str">
        <f aca="false">IF(E216="","Unknown",IF(E216&lt;=25,"18-25",IF(E216&lt;=35,"26-35",IF(E216&lt;=45,"36-45",IF(E216&lt;=55,"46-55","56-65")))))</f>
        <v>18-25</v>
      </c>
      <c r="P216" s="35" t="n">
        <f aca="false">COUNTIF($C$2:$C$1001,C216)</f>
        <v>1</v>
      </c>
      <c r="Q216" s="35" t="n">
        <f aca="false">IF(COUNTIF($C$2:C216,C216)=1,1,0)</f>
        <v>1</v>
      </c>
    </row>
    <row r="217" customFormat="false" ht="15" hidden="false" customHeight="false" outlineLevel="0" collapsed="false">
      <c r="A217" s="35" t="s">
        <v>858</v>
      </c>
      <c r="B217" s="64" t="n">
        <v>45739</v>
      </c>
      <c r="C217" s="35" t="s">
        <v>859</v>
      </c>
      <c r="D217" s="35" t="s">
        <v>860</v>
      </c>
      <c r="E217" s="35" t="n">
        <v>60</v>
      </c>
      <c r="F217" s="35" t="s">
        <v>235</v>
      </c>
      <c r="G217" s="35" t="s">
        <v>221</v>
      </c>
      <c r="H217" s="35" t="s">
        <v>209</v>
      </c>
      <c r="I217" s="35" t="s">
        <v>200</v>
      </c>
      <c r="J217" s="35" t="n">
        <v>4</v>
      </c>
      <c r="K217" s="65" t="n">
        <v>39054.95</v>
      </c>
      <c r="L217" s="65" t="n">
        <v>156219.8</v>
      </c>
      <c r="M217" s="66" t="n">
        <f aca="false">DATE(YEAR(B217),MONTH(B217),1)</f>
        <v>45717</v>
      </c>
      <c r="N217" s="35" t="str">
        <f aca="false">IF(G217="","Unknown",G217)</f>
        <v>Delhi</v>
      </c>
      <c r="O217" s="35" t="str">
        <f aca="false">IF(E217="","Unknown",IF(E217&lt;=25,"18-25",IF(E217&lt;=35,"26-35",IF(E217&lt;=45,"36-45",IF(E217&lt;=55,"46-55","56-65")))))</f>
        <v>56-65</v>
      </c>
      <c r="P217" s="35" t="n">
        <f aca="false">COUNTIF($C$2:$C$1001,C217)</f>
        <v>1</v>
      </c>
      <c r="Q217" s="35" t="n">
        <f aca="false">IF(COUNTIF($C$2:C217,C217)=1,1,0)</f>
        <v>1</v>
      </c>
    </row>
    <row r="218" customFormat="false" ht="15" hidden="false" customHeight="false" outlineLevel="0" collapsed="false">
      <c r="A218" s="35" t="s">
        <v>861</v>
      </c>
      <c r="B218" s="64" t="n">
        <v>45937</v>
      </c>
      <c r="C218" s="35" t="s">
        <v>862</v>
      </c>
      <c r="D218" s="35" t="s">
        <v>863</v>
      </c>
      <c r="E218" s="35" t="n">
        <v>39</v>
      </c>
      <c r="F218" s="35" t="s">
        <v>234</v>
      </c>
      <c r="G218" s="35" t="s">
        <v>217</v>
      </c>
      <c r="H218" s="35" t="s">
        <v>209</v>
      </c>
      <c r="I218" s="35" t="s">
        <v>200</v>
      </c>
      <c r="J218" s="35" t="n">
        <v>6</v>
      </c>
      <c r="K218" s="65" t="n">
        <v>20308.85</v>
      </c>
      <c r="L218" s="65" t="n">
        <v>121853.1</v>
      </c>
      <c r="M218" s="66" t="n">
        <f aca="false">DATE(YEAR(B218),MONTH(B218),1)</f>
        <v>45931</v>
      </c>
      <c r="N218" s="35" t="str">
        <f aca="false">IF(G218="","Unknown",G218)</f>
        <v>Kolkata</v>
      </c>
      <c r="O218" s="35" t="str">
        <f aca="false">IF(E218="","Unknown",IF(E218&lt;=25,"18-25",IF(E218&lt;=35,"26-35",IF(E218&lt;=45,"36-45",IF(E218&lt;=55,"46-55","56-65")))))</f>
        <v>36-45</v>
      </c>
      <c r="P218" s="35" t="n">
        <f aca="false">COUNTIF($C$2:$C$1001,C218)</f>
        <v>1</v>
      </c>
      <c r="Q218" s="35" t="n">
        <f aca="false">IF(COUNTIF($C$2:C218,C218)=1,1,0)</f>
        <v>1</v>
      </c>
    </row>
    <row r="219" customFormat="false" ht="15" hidden="false" customHeight="false" outlineLevel="0" collapsed="false">
      <c r="A219" s="35" t="s">
        <v>864</v>
      </c>
      <c r="B219" s="64" t="n">
        <v>45670</v>
      </c>
      <c r="C219" s="35" t="s">
        <v>865</v>
      </c>
      <c r="D219" s="35" t="s">
        <v>570</v>
      </c>
      <c r="E219" s="35" t="n">
        <v>25</v>
      </c>
      <c r="F219" s="35" t="s">
        <v>235</v>
      </c>
      <c r="G219" s="35" t="s">
        <v>220</v>
      </c>
      <c r="H219" s="35" t="s">
        <v>211</v>
      </c>
      <c r="I219" s="35" t="s">
        <v>202</v>
      </c>
      <c r="J219" s="35" t="n">
        <v>4</v>
      </c>
      <c r="K219" s="65" t="n">
        <v>15549.95</v>
      </c>
      <c r="L219" s="65" t="n">
        <v>62199.8</v>
      </c>
      <c r="M219" s="66" t="n">
        <f aca="false">DATE(YEAR(B219),MONTH(B219),1)</f>
        <v>45658</v>
      </c>
      <c r="N219" s="35" t="str">
        <f aca="false">IF(G219="","Unknown",G219)</f>
        <v>Hyderabad</v>
      </c>
      <c r="O219" s="35" t="str">
        <f aca="false">IF(E219="","Unknown",IF(E219&lt;=25,"18-25",IF(E219&lt;=35,"26-35",IF(E219&lt;=45,"36-45",IF(E219&lt;=55,"46-55","56-65")))))</f>
        <v>18-25</v>
      </c>
      <c r="P219" s="35" t="n">
        <f aca="false">COUNTIF($C$2:$C$1001,C219)</f>
        <v>2</v>
      </c>
      <c r="Q219" s="35" t="n">
        <f aca="false">IF(COUNTIF($C$2:C219,C219)=1,1,0)</f>
        <v>1</v>
      </c>
    </row>
    <row r="220" customFormat="false" ht="15" hidden="false" customHeight="false" outlineLevel="0" collapsed="false">
      <c r="A220" s="35" t="s">
        <v>866</v>
      </c>
      <c r="B220" s="64" t="n">
        <v>45914</v>
      </c>
      <c r="C220" s="35" t="s">
        <v>867</v>
      </c>
      <c r="D220" s="35" t="s">
        <v>332</v>
      </c>
      <c r="E220" s="35" t="n">
        <v>23</v>
      </c>
      <c r="F220" s="35" t="s">
        <v>235</v>
      </c>
      <c r="G220" s="35" t="s">
        <v>220</v>
      </c>
      <c r="H220" s="35" t="s">
        <v>208</v>
      </c>
      <c r="I220" s="35" t="s">
        <v>200</v>
      </c>
      <c r="J220" s="35" t="n">
        <v>1</v>
      </c>
      <c r="K220" s="65" t="n">
        <v>34192.3</v>
      </c>
      <c r="L220" s="65" t="n">
        <v>34192.3</v>
      </c>
      <c r="M220" s="66" t="n">
        <f aca="false">DATE(YEAR(B220),MONTH(B220),1)</f>
        <v>45901</v>
      </c>
      <c r="N220" s="35" t="str">
        <f aca="false">IF(G220="","Unknown",G220)</f>
        <v>Hyderabad</v>
      </c>
      <c r="O220" s="35" t="str">
        <f aca="false">IF(E220="","Unknown",IF(E220&lt;=25,"18-25",IF(E220&lt;=35,"26-35",IF(E220&lt;=45,"36-45",IF(E220&lt;=55,"46-55","56-65")))))</f>
        <v>18-25</v>
      </c>
      <c r="P220" s="35" t="n">
        <f aca="false">COUNTIF($C$2:$C$1001,C220)</f>
        <v>1</v>
      </c>
      <c r="Q220" s="35" t="n">
        <f aca="false">IF(COUNTIF($C$2:C220,C220)=1,1,0)</f>
        <v>1</v>
      </c>
    </row>
    <row r="221" customFormat="false" ht="15" hidden="false" customHeight="false" outlineLevel="0" collapsed="false">
      <c r="A221" s="35" t="s">
        <v>868</v>
      </c>
      <c r="B221" s="64" t="n">
        <v>45774</v>
      </c>
      <c r="C221" s="35" t="s">
        <v>869</v>
      </c>
      <c r="D221" s="35" t="s">
        <v>789</v>
      </c>
      <c r="E221" s="35" t="n">
        <v>65</v>
      </c>
      <c r="F221" s="35" t="s">
        <v>235</v>
      </c>
      <c r="G221" s="35" t="s">
        <v>220</v>
      </c>
      <c r="H221" s="35" t="s">
        <v>210</v>
      </c>
      <c r="I221" s="35" t="s">
        <v>201</v>
      </c>
      <c r="J221" s="35" t="n">
        <v>2</v>
      </c>
      <c r="K221" s="65" t="n">
        <v>12214.1</v>
      </c>
      <c r="L221" s="65" t="n">
        <v>24428.2</v>
      </c>
      <c r="M221" s="66" t="n">
        <f aca="false">DATE(YEAR(B221),MONTH(B221),1)</f>
        <v>45748</v>
      </c>
      <c r="N221" s="35" t="str">
        <f aca="false">IF(G221="","Unknown",G221)</f>
        <v>Hyderabad</v>
      </c>
      <c r="O221" s="35" t="str">
        <f aca="false">IF(E221="","Unknown",IF(E221&lt;=25,"18-25",IF(E221&lt;=35,"26-35",IF(E221&lt;=45,"36-45",IF(E221&lt;=55,"46-55","56-65")))))</f>
        <v>56-65</v>
      </c>
      <c r="P221" s="35" t="n">
        <f aca="false">COUNTIF($C$2:$C$1001,C221)</f>
        <v>1</v>
      </c>
      <c r="Q221" s="35" t="n">
        <f aca="false">IF(COUNTIF($C$2:C221,C221)=1,1,0)</f>
        <v>1</v>
      </c>
    </row>
    <row r="222" customFormat="false" ht="15" hidden="false" customHeight="false" outlineLevel="0" collapsed="false">
      <c r="A222" s="35" t="s">
        <v>870</v>
      </c>
      <c r="B222" s="64" t="n">
        <v>45851</v>
      </c>
      <c r="C222" s="35" t="s">
        <v>871</v>
      </c>
      <c r="D222" s="35" t="s">
        <v>872</v>
      </c>
      <c r="E222" s="35" t="n">
        <v>20</v>
      </c>
      <c r="F222" s="35" t="s">
        <v>235</v>
      </c>
      <c r="G222" s="35" t="s">
        <v>218</v>
      </c>
      <c r="H222" s="35" t="s">
        <v>213</v>
      </c>
      <c r="I222" s="35" t="s">
        <v>204</v>
      </c>
      <c r="J222" s="35" t="n">
        <v>10</v>
      </c>
      <c r="K222" s="65" t="n">
        <v>49086.64</v>
      </c>
      <c r="L222" s="65" t="n">
        <v>490866.4</v>
      </c>
      <c r="M222" s="66" t="n">
        <f aca="false">DATE(YEAR(B222),MONTH(B222),1)</f>
        <v>45839</v>
      </c>
      <c r="N222" s="35" t="str">
        <f aca="false">IF(G222="","Unknown",G222)</f>
        <v>Bengaluru</v>
      </c>
      <c r="O222" s="35" t="str">
        <f aca="false">IF(E222="","Unknown",IF(E222&lt;=25,"18-25",IF(E222&lt;=35,"26-35",IF(E222&lt;=45,"36-45",IF(E222&lt;=55,"46-55","56-65")))))</f>
        <v>18-25</v>
      </c>
      <c r="P222" s="35" t="n">
        <f aca="false">COUNTIF($C$2:$C$1001,C222)</f>
        <v>1</v>
      </c>
      <c r="Q222" s="35" t="n">
        <f aca="false">IF(COUNTIF($C$2:C222,C222)=1,1,0)</f>
        <v>1</v>
      </c>
    </row>
    <row r="223" customFormat="false" ht="15" hidden="false" customHeight="false" outlineLevel="0" collapsed="false">
      <c r="A223" s="35" t="s">
        <v>873</v>
      </c>
      <c r="B223" s="64" t="n">
        <v>45667</v>
      </c>
      <c r="C223" s="35" t="s">
        <v>874</v>
      </c>
      <c r="D223" s="35" t="s">
        <v>875</v>
      </c>
      <c r="E223" s="35" t="n">
        <v>38</v>
      </c>
      <c r="F223" s="35" t="s">
        <v>235</v>
      </c>
      <c r="G223" s="35" t="s">
        <v>218</v>
      </c>
      <c r="H223" s="35" t="s">
        <v>209</v>
      </c>
      <c r="I223" s="35" t="s">
        <v>200</v>
      </c>
      <c r="J223" s="35" t="n">
        <v>8</v>
      </c>
      <c r="K223" s="65" t="n">
        <v>20404.62</v>
      </c>
      <c r="L223" s="65" t="n">
        <v>163236.96</v>
      </c>
      <c r="M223" s="66" t="n">
        <f aca="false">DATE(YEAR(B223),MONTH(B223),1)</f>
        <v>45658</v>
      </c>
      <c r="N223" s="35" t="str">
        <f aca="false">IF(G223="","Unknown",G223)</f>
        <v>Bengaluru</v>
      </c>
      <c r="O223" s="35" t="str">
        <f aca="false">IF(E223="","Unknown",IF(E223&lt;=25,"18-25",IF(E223&lt;=35,"26-35",IF(E223&lt;=45,"36-45",IF(E223&lt;=55,"46-55","56-65")))))</f>
        <v>36-45</v>
      </c>
      <c r="P223" s="35" t="n">
        <f aca="false">COUNTIF($C$2:$C$1001,C223)</f>
        <v>1</v>
      </c>
      <c r="Q223" s="35" t="n">
        <f aca="false">IF(COUNTIF($C$2:C223,C223)=1,1,0)</f>
        <v>1</v>
      </c>
    </row>
    <row r="224" customFormat="false" ht="15" hidden="false" customHeight="false" outlineLevel="0" collapsed="false">
      <c r="A224" s="35" t="s">
        <v>876</v>
      </c>
      <c r="B224" s="64" t="n">
        <v>45997</v>
      </c>
      <c r="C224" s="35" t="s">
        <v>877</v>
      </c>
      <c r="D224" s="35" t="s">
        <v>394</v>
      </c>
      <c r="E224" s="35" t="n">
        <v>22</v>
      </c>
      <c r="F224" s="35" t="s">
        <v>234</v>
      </c>
      <c r="G224" s="35" t="s">
        <v>219</v>
      </c>
      <c r="H224" s="35" t="s">
        <v>208</v>
      </c>
      <c r="I224" s="35" t="s">
        <v>200</v>
      </c>
      <c r="J224" s="35" t="n">
        <v>8</v>
      </c>
      <c r="K224" s="65" t="n">
        <v>49347.28</v>
      </c>
      <c r="L224" s="65" t="n">
        <v>394778.24</v>
      </c>
      <c r="M224" s="66" t="n">
        <f aca="false">DATE(YEAR(B224),MONTH(B224),1)</f>
        <v>45992</v>
      </c>
      <c r="N224" s="35" t="str">
        <f aca="false">IF(G224="","Unknown",G224)</f>
        <v>Mumbai</v>
      </c>
      <c r="O224" s="35" t="str">
        <f aca="false">IF(E224="","Unknown",IF(E224&lt;=25,"18-25",IF(E224&lt;=35,"26-35",IF(E224&lt;=45,"36-45",IF(E224&lt;=55,"46-55","56-65")))))</f>
        <v>18-25</v>
      </c>
      <c r="P224" s="35" t="n">
        <f aca="false">COUNTIF($C$2:$C$1001,C224)</f>
        <v>1</v>
      </c>
      <c r="Q224" s="35" t="n">
        <f aca="false">IF(COUNTIF($C$2:C224,C224)=1,1,0)</f>
        <v>1</v>
      </c>
    </row>
    <row r="225" customFormat="false" ht="15" hidden="false" customHeight="false" outlineLevel="0" collapsed="false">
      <c r="A225" s="35" t="s">
        <v>878</v>
      </c>
      <c r="B225" s="64" t="n">
        <v>45998</v>
      </c>
      <c r="C225" s="35" t="s">
        <v>879</v>
      </c>
      <c r="D225" s="35" t="s">
        <v>353</v>
      </c>
      <c r="E225" s="35" t="n">
        <v>37</v>
      </c>
      <c r="F225" s="35" t="s">
        <v>235</v>
      </c>
      <c r="G225" s="35"/>
      <c r="H225" s="35" t="s">
        <v>211</v>
      </c>
      <c r="I225" s="35" t="s">
        <v>202</v>
      </c>
      <c r="J225" s="35" t="n">
        <v>1</v>
      </c>
      <c r="K225" s="65" t="n">
        <v>25336.7</v>
      </c>
      <c r="L225" s="65" t="n">
        <v>25336.7</v>
      </c>
      <c r="M225" s="66" t="n">
        <f aca="false">DATE(YEAR(B225),MONTH(B225),1)</f>
        <v>45992</v>
      </c>
      <c r="N225" s="35" t="str">
        <f aca="false">IF(G225="","Unknown",G225)</f>
        <v>Unknown</v>
      </c>
      <c r="O225" s="35" t="str">
        <f aca="false">IF(E225="","Unknown",IF(E225&lt;=25,"18-25",IF(E225&lt;=35,"26-35",IF(E225&lt;=45,"36-45",IF(E225&lt;=55,"46-55","56-65")))))</f>
        <v>36-45</v>
      </c>
      <c r="P225" s="35" t="n">
        <f aca="false">COUNTIF($C$2:$C$1001,C225)</f>
        <v>1</v>
      </c>
      <c r="Q225" s="35" t="n">
        <f aca="false">IF(COUNTIF($C$2:C225,C225)=1,1,0)</f>
        <v>1</v>
      </c>
    </row>
    <row r="226" customFormat="false" ht="15" hidden="false" customHeight="false" outlineLevel="0" collapsed="false">
      <c r="A226" s="35" t="s">
        <v>880</v>
      </c>
      <c r="B226" s="64" t="n">
        <v>45696</v>
      </c>
      <c r="C226" s="35" t="s">
        <v>881</v>
      </c>
      <c r="D226" s="35" t="s">
        <v>882</v>
      </c>
      <c r="E226" s="35" t="n">
        <v>54</v>
      </c>
      <c r="F226" s="35" t="s">
        <v>235</v>
      </c>
      <c r="G226" s="35" t="s">
        <v>222</v>
      </c>
      <c r="H226" s="35" t="s">
        <v>211</v>
      </c>
      <c r="I226" s="35" t="s">
        <v>202</v>
      </c>
      <c r="J226" s="35" t="n">
        <v>5</v>
      </c>
      <c r="K226" s="65" t="n">
        <v>7361.11</v>
      </c>
      <c r="L226" s="65" t="n">
        <v>36805.55</v>
      </c>
      <c r="M226" s="66" t="n">
        <f aca="false">DATE(YEAR(B226),MONTH(B226),1)</f>
        <v>45689</v>
      </c>
      <c r="N226" s="35" t="str">
        <f aca="false">IF(G226="","Unknown",G226)</f>
        <v>Pune</v>
      </c>
      <c r="O226" s="35" t="str">
        <f aca="false">IF(E226="","Unknown",IF(E226&lt;=25,"18-25",IF(E226&lt;=35,"26-35",IF(E226&lt;=45,"36-45",IF(E226&lt;=55,"46-55","56-65")))))</f>
        <v>46-55</v>
      </c>
      <c r="P226" s="35" t="n">
        <f aca="false">COUNTIF($C$2:$C$1001,C226)</f>
        <v>1</v>
      </c>
      <c r="Q226" s="35" t="n">
        <f aca="false">IF(COUNTIF($C$2:C226,C226)=1,1,0)</f>
        <v>1</v>
      </c>
    </row>
    <row r="227" customFormat="false" ht="15" hidden="false" customHeight="false" outlineLevel="0" collapsed="false">
      <c r="A227" s="35" t="s">
        <v>883</v>
      </c>
      <c r="B227" s="64" t="n">
        <v>45754</v>
      </c>
      <c r="C227" s="35" t="s">
        <v>884</v>
      </c>
      <c r="D227" s="35" t="s">
        <v>885</v>
      </c>
      <c r="E227" s="35" t="n">
        <v>22</v>
      </c>
      <c r="F227" s="35" t="s">
        <v>234</v>
      </c>
      <c r="G227" s="35" t="s">
        <v>220</v>
      </c>
      <c r="H227" s="35" t="s">
        <v>208</v>
      </c>
      <c r="I227" s="35" t="s">
        <v>200</v>
      </c>
      <c r="J227" s="35" t="n">
        <v>4</v>
      </c>
      <c r="K227" s="65" t="n">
        <v>33205.94</v>
      </c>
      <c r="L227" s="65" t="n">
        <v>132823.76</v>
      </c>
      <c r="M227" s="66" t="n">
        <f aca="false">DATE(YEAR(B227),MONTH(B227),1)</f>
        <v>45748</v>
      </c>
      <c r="N227" s="35" t="str">
        <f aca="false">IF(G227="","Unknown",G227)</f>
        <v>Hyderabad</v>
      </c>
      <c r="O227" s="35" t="str">
        <f aca="false">IF(E227="","Unknown",IF(E227&lt;=25,"18-25",IF(E227&lt;=35,"26-35",IF(E227&lt;=45,"36-45",IF(E227&lt;=55,"46-55","56-65")))))</f>
        <v>18-25</v>
      </c>
      <c r="P227" s="35" t="n">
        <f aca="false">COUNTIF($C$2:$C$1001,C227)</f>
        <v>1</v>
      </c>
      <c r="Q227" s="35" t="n">
        <f aca="false">IF(COUNTIF($C$2:C227,C227)=1,1,0)</f>
        <v>1</v>
      </c>
    </row>
    <row r="228" customFormat="false" ht="15" hidden="false" customHeight="false" outlineLevel="0" collapsed="false">
      <c r="A228" s="35" t="s">
        <v>886</v>
      </c>
      <c r="B228" s="64" t="n">
        <v>45827</v>
      </c>
      <c r="C228" s="35" t="s">
        <v>887</v>
      </c>
      <c r="D228" s="35" t="s">
        <v>888</v>
      </c>
      <c r="E228" s="35" t="n">
        <v>63</v>
      </c>
      <c r="F228" s="35" t="s">
        <v>235</v>
      </c>
      <c r="G228" s="35" t="s">
        <v>216</v>
      </c>
      <c r="H228" s="35" t="s">
        <v>212</v>
      </c>
      <c r="I228" s="35" t="s">
        <v>203</v>
      </c>
      <c r="J228" s="35" t="n">
        <v>4</v>
      </c>
      <c r="K228" s="65" t="n">
        <v>21609.52</v>
      </c>
      <c r="L228" s="65" t="n">
        <v>86438.08</v>
      </c>
      <c r="M228" s="66" t="n">
        <f aca="false">DATE(YEAR(B228),MONTH(B228),1)</f>
        <v>45809</v>
      </c>
      <c r="N228" s="35" t="str">
        <f aca="false">IF(G228="","Unknown",G228)</f>
        <v>Patna</v>
      </c>
      <c r="O228" s="35" t="str">
        <f aca="false">IF(E228="","Unknown",IF(E228&lt;=25,"18-25",IF(E228&lt;=35,"26-35",IF(E228&lt;=45,"36-45",IF(E228&lt;=55,"46-55","56-65")))))</f>
        <v>56-65</v>
      </c>
      <c r="P228" s="35" t="n">
        <f aca="false">COUNTIF($C$2:$C$1001,C228)</f>
        <v>1</v>
      </c>
      <c r="Q228" s="35" t="n">
        <f aca="false">IF(COUNTIF($C$2:C228,C228)=1,1,0)</f>
        <v>1</v>
      </c>
    </row>
    <row r="229" customFormat="false" ht="15" hidden="false" customHeight="false" outlineLevel="0" collapsed="false">
      <c r="A229" s="35" t="s">
        <v>889</v>
      </c>
      <c r="B229" s="64" t="n">
        <v>45846</v>
      </c>
      <c r="C229" s="35" t="s">
        <v>890</v>
      </c>
      <c r="D229" s="35" t="s">
        <v>891</v>
      </c>
      <c r="E229" s="35" t="n">
        <v>28</v>
      </c>
      <c r="F229" s="35" t="s">
        <v>234</v>
      </c>
      <c r="G229" s="35" t="s">
        <v>222</v>
      </c>
      <c r="H229" s="35" t="s">
        <v>208</v>
      </c>
      <c r="I229" s="35" t="s">
        <v>200</v>
      </c>
      <c r="J229" s="35" t="n">
        <v>10</v>
      </c>
      <c r="K229" s="65" t="n">
        <v>33072.39</v>
      </c>
      <c r="L229" s="65" t="n">
        <v>330723.9</v>
      </c>
      <c r="M229" s="66" t="n">
        <f aca="false">DATE(YEAR(B229),MONTH(B229),1)</f>
        <v>45839</v>
      </c>
      <c r="N229" s="35" t="str">
        <f aca="false">IF(G229="","Unknown",G229)</f>
        <v>Pune</v>
      </c>
      <c r="O229" s="35" t="str">
        <f aca="false">IF(E229="","Unknown",IF(E229&lt;=25,"18-25",IF(E229&lt;=35,"26-35",IF(E229&lt;=45,"36-45",IF(E229&lt;=55,"46-55","56-65")))))</f>
        <v>26-35</v>
      </c>
      <c r="P229" s="35" t="n">
        <f aca="false">COUNTIF($C$2:$C$1001,C229)</f>
        <v>1</v>
      </c>
      <c r="Q229" s="35" t="n">
        <f aca="false">IF(COUNTIF($C$2:C229,C229)=1,1,0)</f>
        <v>1</v>
      </c>
    </row>
    <row r="230" customFormat="false" ht="15" hidden="false" customHeight="false" outlineLevel="0" collapsed="false">
      <c r="A230" s="35" t="s">
        <v>892</v>
      </c>
      <c r="B230" s="64" t="n">
        <v>45962</v>
      </c>
      <c r="C230" s="35" t="s">
        <v>893</v>
      </c>
      <c r="D230" s="35" t="s">
        <v>338</v>
      </c>
      <c r="E230" s="35" t="n">
        <v>63</v>
      </c>
      <c r="F230" s="35" t="s">
        <v>234</v>
      </c>
      <c r="G230" s="35" t="s">
        <v>216</v>
      </c>
      <c r="H230" s="35" t="s">
        <v>209</v>
      </c>
      <c r="I230" s="35" t="s">
        <v>200</v>
      </c>
      <c r="J230" s="35" t="n">
        <v>6</v>
      </c>
      <c r="K230" s="65" t="n">
        <v>46679.69</v>
      </c>
      <c r="L230" s="65" t="n">
        <v>280078.14</v>
      </c>
      <c r="M230" s="66" t="n">
        <f aca="false">DATE(YEAR(B230),MONTH(B230),1)</f>
        <v>45962</v>
      </c>
      <c r="N230" s="35" t="str">
        <f aca="false">IF(G230="","Unknown",G230)</f>
        <v>Patna</v>
      </c>
      <c r="O230" s="35" t="str">
        <f aca="false">IF(E230="","Unknown",IF(E230&lt;=25,"18-25",IF(E230&lt;=35,"26-35",IF(E230&lt;=45,"36-45",IF(E230&lt;=55,"46-55","56-65")))))</f>
        <v>56-65</v>
      </c>
      <c r="P230" s="35" t="n">
        <f aca="false">COUNTIF($C$2:$C$1001,C230)</f>
        <v>1</v>
      </c>
      <c r="Q230" s="35" t="n">
        <f aca="false">IF(COUNTIF($C$2:C230,C230)=1,1,0)</f>
        <v>1</v>
      </c>
    </row>
    <row r="231" customFormat="false" ht="15" hidden="false" customHeight="false" outlineLevel="0" collapsed="false">
      <c r="A231" s="35" t="s">
        <v>894</v>
      </c>
      <c r="B231" s="64" t="n">
        <v>45793</v>
      </c>
      <c r="C231" s="35" t="s">
        <v>895</v>
      </c>
      <c r="D231" s="35" t="s">
        <v>896</v>
      </c>
      <c r="E231" s="35" t="n">
        <v>45</v>
      </c>
      <c r="F231" s="35" t="s">
        <v>235</v>
      </c>
      <c r="G231" s="35" t="s">
        <v>219</v>
      </c>
      <c r="H231" s="35" t="s">
        <v>210</v>
      </c>
      <c r="I231" s="35" t="s">
        <v>201</v>
      </c>
      <c r="J231" s="35" t="n">
        <v>3</v>
      </c>
      <c r="K231" s="65" t="n">
        <v>17931.34</v>
      </c>
      <c r="L231" s="65" t="n">
        <v>53794.02</v>
      </c>
      <c r="M231" s="66" t="n">
        <f aca="false">DATE(YEAR(B231),MONTH(B231),1)</f>
        <v>45778</v>
      </c>
      <c r="N231" s="35" t="str">
        <f aca="false">IF(G231="","Unknown",G231)</f>
        <v>Mumbai</v>
      </c>
      <c r="O231" s="35" t="str">
        <f aca="false">IF(E231="","Unknown",IF(E231&lt;=25,"18-25",IF(E231&lt;=35,"26-35",IF(E231&lt;=45,"36-45",IF(E231&lt;=55,"46-55","56-65")))))</f>
        <v>36-45</v>
      </c>
      <c r="P231" s="35" t="n">
        <f aca="false">COUNTIF($C$2:$C$1001,C231)</f>
        <v>1</v>
      </c>
      <c r="Q231" s="35" t="n">
        <f aca="false">IF(COUNTIF($C$2:C231,C231)=1,1,0)</f>
        <v>1</v>
      </c>
    </row>
    <row r="232" customFormat="false" ht="15" hidden="false" customHeight="false" outlineLevel="0" collapsed="false">
      <c r="A232" s="35" t="s">
        <v>897</v>
      </c>
      <c r="B232" s="64" t="n">
        <v>45758</v>
      </c>
      <c r="C232" s="35" t="s">
        <v>898</v>
      </c>
      <c r="D232" s="35" t="s">
        <v>899</v>
      </c>
      <c r="E232" s="35" t="n">
        <v>61</v>
      </c>
      <c r="F232" s="35" t="s">
        <v>234</v>
      </c>
      <c r="G232" s="35" t="s">
        <v>223</v>
      </c>
      <c r="H232" s="35" t="s">
        <v>212</v>
      </c>
      <c r="I232" s="35" t="s">
        <v>203</v>
      </c>
      <c r="J232" s="35" t="n">
        <v>4</v>
      </c>
      <c r="K232" s="65" t="n">
        <v>5518.32</v>
      </c>
      <c r="L232" s="65" t="n">
        <v>22073.28</v>
      </c>
      <c r="M232" s="66" t="n">
        <f aca="false">DATE(YEAR(B232),MONTH(B232),1)</f>
        <v>45748</v>
      </c>
      <c r="N232" s="35" t="str">
        <f aca="false">IF(G232="","Unknown",G232)</f>
        <v>Gaya</v>
      </c>
      <c r="O232" s="35" t="str">
        <f aca="false">IF(E232="","Unknown",IF(E232&lt;=25,"18-25",IF(E232&lt;=35,"26-35",IF(E232&lt;=45,"36-45",IF(E232&lt;=55,"46-55","56-65")))))</f>
        <v>56-65</v>
      </c>
      <c r="P232" s="35" t="n">
        <f aca="false">COUNTIF($C$2:$C$1001,C232)</f>
        <v>1</v>
      </c>
      <c r="Q232" s="35" t="n">
        <f aca="false">IF(COUNTIF($C$2:C232,C232)=1,1,0)</f>
        <v>1</v>
      </c>
    </row>
    <row r="233" customFormat="false" ht="15" hidden="false" customHeight="false" outlineLevel="0" collapsed="false">
      <c r="A233" s="35" t="s">
        <v>900</v>
      </c>
      <c r="B233" s="64" t="n">
        <v>45829</v>
      </c>
      <c r="C233" s="35" t="s">
        <v>901</v>
      </c>
      <c r="D233" s="35" t="s">
        <v>725</v>
      </c>
      <c r="E233" s="35" t="n">
        <v>61</v>
      </c>
      <c r="F233" s="35" t="s">
        <v>234</v>
      </c>
      <c r="G233" s="35" t="s">
        <v>219</v>
      </c>
      <c r="H233" s="35" t="s">
        <v>210</v>
      </c>
      <c r="I233" s="35" t="s">
        <v>201</v>
      </c>
      <c r="J233" s="35" t="n">
        <v>7</v>
      </c>
      <c r="K233" s="65" t="n">
        <v>15331.09</v>
      </c>
      <c r="L233" s="65" t="n">
        <v>107317.63</v>
      </c>
      <c r="M233" s="66" t="n">
        <f aca="false">DATE(YEAR(B233),MONTH(B233),1)</f>
        <v>45809</v>
      </c>
      <c r="N233" s="35" t="str">
        <f aca="false">IF(G233="","Unknown",G233)</f>
        <v>Mumbai</v>
      </c>
      <c r="O233" s="35" t="str">
        <f aca="false">IF(E233="","Unknown",IF(E233&lt;=25,"18-25",IF(E233&lt;=35,"26-35",IF(E233&lt;=45,"36-45",IF(E233&lt;=55,"46-55","56-65")))))</f>
        <v>56-65</v>
      </c>
      <c r="P233" s="35" t="n">
        <f aca="false">COUNTIF($C$2:$C$1001,C233)</f>
        <v>1</v>
      </c>
      <c r="Q233" s="35" t="n">
        <f aca="false">IF(COUNTIF($C$2:C233,C233)=1,1,0)</f>
        <v>1</v>
      </c>
    </row>
    <row r="234" customFormat="false" ht="15" hidden="false" customHeight="false" outlineLevel="0" collapsed="false">
      <c r="A234" s="35" t="s">
        <v>902</v>
      </c>
      <c r="B234" s="64" t="n">
        <v>45905</v>
      </c>
      <c r="C234" s="35" t="s">
        <v>903</v>
      </c>
      <c r="D234" s="35" t="s">
        <v>456</v>
      </c>
      <c r="E234" s="35" t="n">
        <v>63</v>
      </c>
      <c r="F234" s="35" t="s">
        <v>235</v>
      </c>
      <c r="G234" s="35" t="s">
        <v>218</v>
      </c>
      <c r="H234" s="35" t="s">
        <v>213</v>
      </c>
      <c r="I234" s="35" t="s">
        <v>204</v>
      </c>
      <c r="J234" s="35" t="n">
        <v>1</v>
      </c>
      <c r="K234" s="65" t="n">
        <v>41626.11</v>
      </c>
      <c r="L234" s="65" t="n">
        <v>41626.11</v>
      </c>
      <c r="M234" s="66" t="n">
        <f aca="false">DATE(YEAR(B234),MONTH(B234),1)</f>
        <v>45901</v>
      </c>
      <c r="N234" s="35" t="str">
        <f aca="false">IF(G234="","Unknown",G234)</f>
        <v>Bengaluru</v>
      </c>
      <c r="O234" s="35" t="str">
        <f aca="false">IF(E234="","Unknown",IF(E234&lt;=25,"18-25",IF(E234&lt;=35,"26-35",IF(E234&lt;=45,"36-45",IF(E234&lt;=55,"46-55","56-65")))))</f>
        <v>56-65</v>
      </c>
      <c r="P234" s="35" t="n">
        <f aca="false">COUNTIF($C$2:$C$1001,C234)</f>
        <v>1</v>
      </c>
      <c r="Q234" s="35" t="n">
        <f aca="false">IF(COUNTIF($C$2:C234,C234)=1,1,0)</f>
        <v>1</v>
      </c>
    </row>
    <row r="235" customFormat="false" ht="15" hidden="false" customHeight="false" outlineLevel="0" collapsed="false">
      <c r="A235" s="35" t="s">
        <v>904</v>
      </c>
      <c r="B235" s="64" t="n">
        <v>45952</v>
      </c>
      <c r="C235" s="35" t="s">
        <v>905</v>
      </c>
      <c r="D235" s="35" t="s">
        <v>323</v>
      </c>
      <c r="E235" s="35" t="n">
        <v>41</v>
      </c>
      <c r="F235" s="35" t="s">
        <v>235</v>
      </c>
      <c r="G235" s="35" t="s">
        <v>218</v>
      </c>
      <c r="H235" s="35" t="s">
        <v>212</v>
      </c>
      <c r="I235" s="35" t="s">
        <v>203</v>
      </c>
      <c r="J235" s="35" t="n">
        <v>8</v>
      </c>
      <c r="K235" s="65" t="n">
        <v>33479.62</v>
      </c>
      <c r="L235" s="65" t="n">
        <v>267836.96</v>
      </c>
      <c r="M235" s="66" t="n">
        <f aca="false">DATE(YEAR(B235),MONTH(B235),1)</f>
        <v>45931</v>
      </c>
      <c r="N235" s="35" t="str">
        <f aca="false">IF(G235="","Unknown",G235)</f>
        <v>Bengaluru</v>
      </c>
      <c r="O235" s="35" t="str">
        <f aca="false">IF(E235="","Unknown",IF(E235&lt;=25,"18-25",IF(E235&lt;=35,"26-35",IF(E235&lt;=45,"36-45",IF(E235&lt;=55,"46-55","56-65")))))</f>
        <v>36-45</v>
      </c>
      <c r="P235" s="35" t="n">
        <f aca="false">COUNTIF($C$2:$C$1001,C235)</f>
        <v>1</v>
      </c>
      <c r="Q235" s="35" t="n">
        <f aca="false">IF(COUNTIF($C$2:C235,C235)=1,1,0)</f>
        <v>1</v>
      </c>
    </row>
    <row r="236" customFormat="false" ht="15" hidden="false" customHeight="false" outlineLevel="0" collapsed="false">
      <c r="A236" s="35" t="s">
        <v>906</v>
      </c>
      <c r="B236" s="64" t="n">
        <v>45796</v>
      </c>
      <c r="C236" s="35" t="s">
        <v>907</v>
      </c>
      <c r="D236" s="35" t="s">
        <v>908</v>
      </c>
      <c r="E236" s="35" t="n">
        <v>62</v>
      </c>
      <c r="F236" s="35" t="s">
        <v>234</v>
      </c>
      <c r="G236" s="35" t="s">
        <v>219</v>
      </c>
      <c r="H236" s="35" t="s">
        <v>208</v>
      </c>
      <c r="I236" s="35" t="s">
        <v>200</v>
      </c>
      <c r="J236" s="35" t="n">
        <v>9</v>
      </c>
      <c r="K236" s="65" t="n">
        <v>44135.66</v>
      </c>
      <c r="L236" s="65" t="n">
        <v>397220.94</v>
      </c>
      <c r="M236" s="66" t="n">
        <f aca="false">DATE(YEAR(B236),MONTH(B236),1)</f>
        <v>45778</v>
      </c>
      <c r="N236" s="35" t="str">
        <f aca="false">IF(G236="","Unknown",G236)</f>
        <v>Mumbai</v>
      </c>
      <c r="O236" s="35" t="str">
        <f aca="false">IF(E236="","Unknown",IF(E236&lt;=25,"18-25",IF(E236&lt;=35,"26-35",IF(E236&lt;=45,"36-45",IF(E236&lt;=55,"46-55","56-65")))))</f>
        <v>56-65</v>
      </c>
      <c r="P236" s="35" t="n">
        <f aca="false">COUNTIF($C$2:$C$1001,C236)</f>
        <v>2</v>
      </c>
      <c r="Q236" s="35" t="n">
        <f aca="false">IF(COUNTIF($C$2:C236,C236)=1,1,0)</f>
        <v>1</v>
      </c>
    </row>
    <row r="237" customFormat="false" ht="15" hidden="false" customHeight="false" outlineLevel="0" collapsed="false">
      <c r="A237" s="35" t="s">
        <v>909</v>
      </c>
      <c r="B237" s="64" t="n">
        <v>45833</v>
      </c>
      <c r="C237" s="35" t="s">
        <v>910</v>
      </c>
      <c r="D237" s="35" t="s">
        <v>911</v>
      </c>
      <c r="E237" s="35" t="n">
        <v>32</v>
      </c>
      <c r="F237" s="35" t="s">
        <v>234</v>
      </c>
      <c r="G237" s="35" t="s">
        <v>218</v>
      </c>
      <c r="H237" s="35" t="s">
        <v>209</v>
      </c>
      <c r="I237" s="35" t="s">
        <v>200</v>
      </c>
      <c r="J237" s="35" t="n">
        <v>10</v>
      </c>
      <c r="K237" s="65" t="n">
        <v>4504.89</v>
      </c>
      <c r="L237" s="65" t="n">
        <v>45048.9</v>
      </c>
      <c r="M237" s="66" t="n">
        <f aca="false">DATE(YEAR(B237),MONTH(B237),1)</f>
        <v>45809</v>
      </c>
      <c r="N237" s="35" t="str">
        <f aca="false">IF(G237="","Unknown",G237)</f>
        <v>Bengaluru</v>
      </c>
      <c r="O237" s="35" t="str">
        <f aca="false">IF(E237="","Unknown",IF(E237&lt;=25,"18-25",IF(E237&lt;=35,"26-35",IF(E237&lt;=45,"36-45",IF(E237&lt;=55,"46-55","56-65")))))</f>
        <v>26-35</v>
      </c>
      <c r="P237" s="35" t="n">
        <f aca="false">COUNTIF($C$2:$C$1001,C237)</f>
        <v>1</v>
      </c>
      <c r="Q237" s="35" t="n">
        <f aca="false">IF(COUNTIF($C$2:C237,C237)=1,1,0)</f>
        <v>1</v>
      </c>
    </row>
    <row r="238" customFormat="false" ht="15" hidden="false" customHeight="false" outlineLevel="0" collapsed="false">
      <c r="A238" s="35" t="s">
        <v>912</v>
      </c>
      <c r="B238" s="64" t="n">
        <v>45692</v>
      </c>
      <c r="C238" s="35" t="s">
        <v>913</v>
      </c>
      <c r="D238" s="35" t="s">
        <v>914</v>
      </c>
      <c r="E238" s="35" t="n">
        <v>40</v>
      </c>
      <c r="F238" s="35" t="s">
        <v>235</v>
      </c>
      <c r="G238" s="35" t="s">
        <v>217</v>
      </c>
      <c r="H238" s="35" t="s">
        <v>213</v>
      </c>
      <c r="I238" s="35" t="s">
        <v>204</v>
      </c>
      <c r="J238" s="35" t="n">
        <v>7</v>
      </c>
      <c r="K238" s="65" t="n">
        <v>28710.98</v>
      </c>
      <c r="L238" s="65" t="n">
        <v>200976.86</v>
      </c>
      <c r="M238" s="66" t="n">
        <f aca="false">DATE(YEAR(B238),MONTH(B238),1)</f>
        <v>45689</v>
      </c>
      <c r="N238" s="35" t="str">
        <f aca="false">IF(G238="","Unknown",G238)</f>
        <v>Kolkata</v>
      </c>
      <c r="O238" s="35" t="str">
        <f aca="false">IF(E238="","Unknown",IF(E238&lt;=25,"18-25",IF(E238&lt;=35,"26-35",IF(E238&lt;=45,"36-45",IF(E238&lt;=55,"46-55","56-65")))))</f>
        <v>36-45</v>
      </c>
      <c r="P238" s="35" t="n">
        <f aca="false">COUNTIF($C$2:$C$1001,C238)</f>
        <v>1</v>
      </c>
      <c r="Q238" s="35" t="n">
        <f aca="false">IF(COUNTIF($C$2:C238,C238)=1,1,0)</f>
        <v>1</v>
      </c>
    </row>
    <row r="239" customFormat="false" ht="15" hidden="false" customHeight="false" outlineLevel="0" collapsed="false">
      <c r="A239" s="35" t="s">
        <v>915</v>
      </c>
      <c r="B239" s="64" t="n">
        <v>45711</v>
      </c>
      <c r="C239" s="35" t="s">
        <v>916</v>
      </c>
      <c r="D239" s="35" t="s">
        <v>917</v>
      </c>
      <c r="E239" s="35" t="n">
        <v>38</v>
      </c>
      <c r="F239" s="35" t="s">
        <v>234</v>
      </c>
      <c r="G239" s="35" t="s">
        <v>220</v>
      </c>
      <c r="H239" s="35" t="s">
        <v>210</v>
      </c>
      <c r="I239" s="35" t="s">
        <v>201</v>
      </c>
      <c r="J239" s="35" t="n">
        <v>6</v>
      </c>
      <c r="K239" s="65" t="n">
        <v>25562.3</v>
      </c>
      <c r="L239" s="65" t="n">
        <v>153373.8</v>
      </c>
      <c r="M239" s="66" t="n">
        <f aca="false">DATE(YEAR(B239),MONTH(B239),1)</f>
        <v>45689</v>
      </c>
      <c r="N239" s="35" t="str">
        <f aca="false">IF(G239="","Unknown",G239)</f>
        <v>Hyderabad</v>
      </c>
      <c r="O239" s="35" t="str">
        <f aca="false">IF(E239="","Unknown",IF(E239&lt;=25,"18-25",IF(E239&lt;=35,"26-35",IF(E239&lt;=45,"36-45",IF(E239&lt;=55,"46-55","56-65")))))</f>
        <v>36-45</v>
      </c>
      <c r="P239" s="35" t="n">
        <f aca="false">COUNTIF($C$2:$C$1001,C239)</f>
        <v>1</v>
      </c>
      <c r="Q239" s="35" t="n">
        <f aca="false">IF(COUNTIF($C$2:C239,C239)=1,1,0)</f>
        <v>1</v>
      </c>
    </row>
    <row r="240" customFormat="false" ht="15" hidden="false" customHeight="false" outlineLevel="0" collapsed="false">
      <c r="A240" s="35" t="s">
        <v>392</v>
      </c>
      <c r="B240" s="64" t="n">
        <v>45717</v>
      </c>
      <c r="C240" s="35" t="s">
        <v>918</v>
      </c>
      <c r="D240" s="35" t="s">
        <v>654</v>
      </c>
      <c r="E240" s="35" t="n">
        <v>23</v>
      </c>
      <c r="F240" s="35" t="s">
        <v>234</v>
      </c>
      <c r="G240" s="35" t="s">
        <v>218</v>
      </c>
      <c r="H240" s="35" t="s">
        <v>210</v>
      </c>
      <c r="I240" s="35" t="s">
        <v>201</v>
      </c>
      <c r="J240" s="35" t="n">
        <v>3</v>
      </c>
      <c r="K240" s="65" t="n">
        <v>2860.83</v>
      </c>
      <c r="L240" s="65" t="n">
        <v>8582.49</v>
      </c>
      <c r="M240" s="66" t="n">
        <f aca="false">DATE(YEAR(B240),MONTH(B240),1)</f>
        <v>45717</v>
      </c>
      <c r="N240" s="35" t="str">
        <f aca="false">IF(G240="","Unknown",G240)</f>
        <v>Bengaluru</v>
      </c>
      <c r="O240" s="35" t="str">
        <f aca="false">IF(E240="","Unknown",IF(E240&lt;=25,"18-25",IF(E240&lt;=35,"26-35",IF(E240&lt;=45,"36-45",IF(E240&lt;=55,"46-55","56-65")))))</f>
        <v>18-25</v>
      </c>
      <c r="P240" s="35" t="n">
        <f aca="false">COUNTIF($C$2:$C$1001,C240)</f>
        <v>1</v>
      </c>
      <c r="Q240" s="35" t="n">
        <f aca="false">IF(COUNTIF($C$2:C240,C240)=1,1,0)</f>
        <v>1</v>
      </c>
    </row>
    <row r="241" customFormat="false" ht="15" hidden="false" customHeight="false" outlineLevel="0" collapsed="false">
      <c r="A241" s="35" t="s">
        <v>919</v>
      </c>
      <c r="B241" s="64" t="n">
        <v>45700</v>
      </c>
      <c r="C241" s="35" t="s">
        <v>920</v>
      </c>
      <c r="D241" s="35" t="s">
        <v>921</v>
      </c>
      <c r="E241" s="35" t="n">
        <v>36</v>
      </c>
      <c r="F241" s="35" t="s">
        <v>234</v>
      </c>
      <c r="G241" s="35" t="s">
        <v>222</v>
      </c>
      <c r="H241" s="35" t="s">
        <v>210</v>
      </c>
      <c r="I241" s="35" t="s">
        <v>201</v>
      </c>
      <c r="J241" s="35" t="n">
        <v>4</v>
      </c>
      <c r="K241" s="65" t="n">
        <v>1486.03</v>
      </c>
      <c r="L241" s="65" t="n">
        <v>5944.12</v>
      </c>
      <c r="M241" s="66" t="n">
        <f aca="false">DATE(YEAR(B241),MONTH(B241),1)</f>
        <v>45689</v>
      </c>
      <c r="N241" s="35" t="str">
        <f aca="false">IF(G241="","Unknown",G241)</f>
        <v>Pune</v>
      </c>
      <c r="O241" s="35" t="str">
        <f aca="false">IF(E241="","Unknown",IF(E241&lt;=25,"18-25",IF(E241&lt;=35,"26-35",IF(E241&lt;=45,"36-45",IF(E241&lt;=55,"46-55","56-65")))))</f>
        <v>36-45</v>
      </c>
      <c r="P241" s="35" t="n">
        <f aca="false">COUNTIF($C$2:$C$1001,C241)</f>
        <v>1</v>
      </c>
      <c r="Q241" s="35" t="n">
        <f aca="false">IF(COUNTIF($C$2:C241,C241)=1,1,0)</f>
        <v>1</v>
      </c>
    </row>
    <row r="242" customFormat="false" ht="15" hidden="false" customHeight="false" outlineLevel="0" collapsed="false">
      <c r="A242" s="35" t="s">
        <v>922</v>
      </c>
      <c r="B242" s="64" t="n">
        <v>46013</v>
      </c>
      <c r="C242" s="35" t="s">
        <v>923</v>
      </c>
      <c r="D242" s="35" t="s">
        <v>924</v>
      </c>
      <c r="E242" s="35" t="n">
        <v>34</v>
      </c>
      <c r="F242" s="35" t="s">
        <v>235</v>
      </c>
      <c r="G242" s="35" t="s">
        <v>220</v>
      </c>
      <c r="H242" s="35" t="s">
        <v>208</v>
      </c>
      <c r="I242" s="35" t="s">
        <v>200</v>
      </c>
      <c r="J242" s="35" t="n">
        <v>8</v>
      </c>
      <c r="K242" s="65" t="n">
        <v>4159.17</v>
      </c>
      <c r="L242" s="65" t="n">
        <v>33273.36</v>
      </c>
      <c r="M242" s="66" t="n">
        <f aca="false">DATE(YEAR(B242),MONTH(B242),1)</f>
        <v>45992</v>
      </c>
      <c r="N242" s="35" t="str">
        <f aca="false">IF(G242="","Unknown",G242)</f>
        <v>Hyderabad</v>
      </c>
      <c r="O242" s="35" t="str">
        <f aca="false">IF(E242="","Unknown",IF(E242&lt;=25,"18-25",IF(E242&lt;=35,"26-35",IF(E242&lt;=45,"36-45",IF(E242&lt;=55,"46-55","56-65")))))</f>
        <v>26-35</v>
      </c>
      <c r="P242" s="35" t="n">
        <f aca="false">COUNTIF($C$2:$C$1001,C242)</f>
        <v>2</v>
      </c>
      <c r="Q242" s="35" t="n">
        <f aca="false">IF(COUNTIF($C$2:C242,C242)=1,1,0)</f>
        <v>1</v>
      </c>
    </row>
    <row r="243" customFormat="false" ht="15" hidden="false" customHeight="false" outlineLevel="0" collapsed="false">
      <c r="A243" s="35" t="s">
        <v>925</v>
      </c>
      <c r="B243" s="64" t="n">
        <v>45781</v>
      </c>
      <c r="C243" s="35" t="s">
        <v>926</v>
      </c>
      <c r="D243" s="35" t="s">
        <v>329</v>
      </c>
      <c r="E243" s="35" t="n">
        <v>21</v>
      </c>
      <c r="F243" s="35" t="s">
        <v>235</v>
      </c>
      <c r="G243" s="35" t="s">
        <v>218</v>
      </c>
      <c r="H243" s="35" t="s">
        <v>210</v>
      </c>
      <c r="I243" s="35" t="s">
        <v>201</v>
      </c>
      <c r="J243" s="35" t="n">
        <v>7</v>
      </c>
      <c r="K243" s="65" t="n">
        <v>6218.47</v>
      </c>
      <c r="L243" s="65" t="n">
        <v>43529.29</v>
      </c>
      <c r="M243" s="66" t="n">
        <f aca="false">DATE(YEAR(B243),MONTH(B243),1)</f>
        <v>45778</v>
      </c>
      <c r="N243" s="35" t="str">
        <f aca="false">IF(G243="","Unknown",G243)</f>
        <v>Bengaluru</v>
      </c>
      <c r="O243" s="35" t="str">
        <f aca="false">IF(E243="","Unknown",IF(E243&lt;=25,"18-25",IF(E243&lt;=35,"26-35",IF(E243&lt;=45,"36-45",IF(E243&lt;=55,"46-55","56-65")))))</f>
        <v>18-25</v>
      </c>
      <c r="P243" s="35" t="n">
        <f aca="false">COUNTIF($C$2:$C$1001,C243)</f>
        <v>1</v>
      </c>
      <c r="Q243" s="35" t="n">
        <f aca="false">IF(COUNTIF($C$2:C243,C243)=1,1,0)</f>
        <v>1</v>
      </c>
    </row>
    <row r="244" customFormat="false" ht="15" hidden="false" customHeight="false" outlineLevel="0" collapsed="false">
      <c r="A244" s="35" t="s">
        <v>927</v>
      </c>
      <c r="B244" s="64" t="n">
        <v>45743</v>
      </c>
      <c r="C244" s="35" t="s">
        <v>928</v>
      </c>
      <c r="D244" s="35" t="s">
        <v>821</v>
      </c>
      <c r="E244" s="35" t="n">
        <v>21</v>
      </c>
      <c r="F244" s="35" t="s">
        <v>234</v>
      </c>
      <c r="G244" s="35" t="s">
        <v>219</v>
      </c>
      <c r="H244" s="35" t="s">
        <v>209</v>
      </c>
      <c r="I244" s="35" t="s">
        <v>200</v>
      </c>
      <c r="J244" s="35" t="n">
        <v>10</v>
      </c>
      <c r="K244" s="65" t="n">
        <v>29646.26</v>
      </c>
      <c r="L244" s="65" t="n">
        <v>296462.6</v>
      </c>
      <c r="M244" s="66" t="n">
        <f aca="false">DATE(YEAR(B244),MONTH(B244),1)</f>
        <v>45717</v>
      </c>
      <c r="N244" s="35" t="str">
        <f aca="false">IF(G244="","Unknown",G244)</f>
        <v>Mumbai</v>
      </c>
      <c r="O244" s="35" t="str">
        <f aca="false">IF(E244="","Unknown",IF(E244&lt;=25,"18-25",IF(E244&lt;=35,"26-35",IF(E244&lt;=45,"36-45",IF(E244&lt;=55,"46-55","56-65")))))</f>
        <v>18-25</v>
      </c>
      <c r="P244" s="35" t="n">
        <f aca="false">COUNTIF($C$2:$C$1001,C244)</f>
        <v>1</v>
      </c>
      <c r="Q244" s="35" t="n">
        <f aca="false">IF(COUNTIF($C$2:C244,C244)=1,1,0)</f>
        <v>1</v>
      </c>
    </row>
    <row r="245" customFormat="false" ht="15" hidden="false" customHeight="false" outlineLevel="0" collapsed="false">
      <c r="A245" s="35" t="s">
        <v>929</v>
      </c>
      <c r="B245" s="64" t="n">
        <v>45921</v>
      </c>
      <c r="C245" s="35" t="s">
        <v>930</v>
      </c>
      <c r="D245" s="35" t="s">
        <v>314</v>
      </c>
      <c r="E245" s="35" t="n">
        <v>25</v>
      </c>
      <c r="F245" s="35" t="s">
        <v>234</v>
      </c>
      <c r="G245" s="35" t="s">
        <v>218</v>
      </c>
      <c r="H245" s="35" t="s">
        <v>211</v>
      </c>
      <c r="I245" s="35" t="s">
        <v>202</v>
      </c>
      <c r="J245" s="35" t="n">
        <v>7</v>
      </c>
      <c r="K245" s="65" t="n">
        <v>10674.88</v>
      </c>
      <c r="L245" s="65" t="n">
        <v>74724.16</v>
      </c>
      <c r="M245" s="66" t="n">
        <f aca="false">DATE(YEAR(B245),MONTH(B245),1)</f>
        <v>45901</v>
      </c>
      <c r="N245" s="35" t="str">
        <f aca="false">IF(G245="","Unknown",G245)</f>
        <v>Bengaluru</v>
      </c>
      <c r="O245" s="35" t="str">
        <f aca="false">IF(E245="","Unknown",IF(E245&lt;=25,"18-25",IF(E245&lt;=35,"26-35",IF(E245&lt;=45,"36-45",IF(E245&lt;=55,"46-55","56-65")))))</f>
        <v>18-25</v>
      </c>
      <c r="P245" s="35" t="n">
        <f aca="false">COUNTIF($C$2:$C$1001,C245)</f>
        <v>1</v>
      </c>
      <c r="Q245" s="35" t="n">
        <f aca="false">IF(COUNTIF($C$2:C245,C245)=1,1,0)</f>
        <v>1</v>
      </c>
    </row>
    <row r="246" customFormat="false" ht="15" hidden="false" customHeight="false" outlineLevel="0" collapsed="false">
      <c r="A246" s="35" t="s">
        <v>931</v>
      </c>
      <c r="B246" s="64" t="n">
        <v>45808</v>
      </c>
      <c r="C246" s="35" t="s">
        <v>932</v>
      </c>
      <c r="D246" s="35" t="s">
        <v>789</v>
      </c>
      <c r="E246" s="35" t="n">
        <v>51</v>
      </c>
      <c r="F246" s="35" t="s">
        <v>234</v>
      </c>
      <c r="G246" s="35" t="s">
        <v>220</v>
      </c>
      <c r="H246" s="35" t="s">
        <v>211</v>
      </c>
      <c r="I246" s="35" t="s">
        <v>202</v>
      </c>
      <c r="J246" s="35" t="n">
        <v>4</v>
      </c>
      <c r="K246" s="65" t="n">
        <v>44577.29</v>
      </c>
      <c r="L246" s="65" t="n">
        <v>178309.16</v>
      </c>
      <c r="M246" s="66" t="n">
        <f aca="false">DATE(YEAR(B246),MONTH(B246),1)</f>
        <v>45778</v>
      </c>
      <c r="N246" s="35" t="str">
        <f aca="false">IF(G246="","Unknown",G246)</f>
        <v>Hyderabad</v>
      </c>
      <c r="O246" s="35" t="str">
        <f aca="false">IF(E246="","Unknown",IF(E246&lt;=25,"18-25",IF(E246&lt;=35,"26-35",IF(E246&lt;=45,"36-45",IF(E246&lt;=55,"46-55","56-65")))))</f>
        <v>46-55</v>
      </c>
      <c r="P246" s="35" t="n">
        <f aca="false">COUNTIF($C$2:$C$1001,C246)</f>
        <v>1</v>
      </c>
      <c r="Q246" s="35" t="n">
        <f aca="false">IF(COUNTIF($C$2:C246,C246)=1,1,0)</f>
        <v>1</v>
      </c>
    </row>
    <row r="247" customFormat="false" ht="15" hidden="false" customHeight="false" outlineLevel="0" collapsed="false">
      <c r="A247" s="35" t="s">
        <v>933</v>
      </c>
      <c r="B247" s="64" t="n">
        <v>45917</v>
      </c>
      <c r="C247" s="35" t="s">
        <v>934</v>
      </c>
      <c r="D247" s="35" t="s">
        <v>935</v>
      </c>
      <c r="E247" s="35" t="n">
        <v>54</v>
      </c>
      <c r="F247" s="35" t="s">
        <v>234</v>
      </c>
      <c r="G247" s="35" t="s">
        <v>218</v>
      </c>
      <c r="H247" s="35" t="s">
        <v>210</v>
      </c>
      <c r="I247" s="35" t="s">
        <v>201</v>
      </c>
      <c r="J247" s="35" t="n">
        <v>6</v>
      </c>
      <c r="K247" s="65" t="n">
        <v>36587.03</v>
      </c>
      <c r="L247" s="65" t="n">
        <v>219522.18</v>
      </c>
      <c r="M247" s="66" t="n">
        <f aca="false">DATE(YEAR(B247),MONTH(B247),1)</f>
        <v>45901</v>
      </c>
      <c r="N247" s="35" t="str">
        <f aca="false">IF(G247="","Unknown",G247)</f>
        <v>Bengaluru</v>
      </c>
      <c r="O247" s="35" t="str">
        <f aca="false">IF(E247="","Unknown",IF(E247&lt;=25,"18-25",IF(E247&lt;=35,"26-35",IF(E247&lt;=45,"36-45",IF(E247&lt;=55,"46-55","56-65")))))</f>
        <v>46-55</v>
      </c>
      <c r="P247" s="35" t="n">
        <f aca="false">COUNTIF($C$2:$C$1001,C247)</f>
        <v>1</v>
      </c>
      <c r="Q247" s="35" t="n">
        <f aca="false">IF(COUNTIF($C$2:C247,C247)=1,1,0)</f>
        <v>1</v>
      </c>
    </row>
    <row r="248" customFormat="false" ht="15" hidden="false" customHeight="false" outlineLevel="0" collapsed="false">
      <c r="A248" s="35" t="s">
        <v>936</v>
      </c>
      <c r="B248" s="64" t="n">
        <v>45697</v>
      </c>
      <c r="C248" s="35" t="s">
        <v>937</v>
      </c>
      <c r="D248" s="35" t="s">
        <v>938</v>
      </c>
      <c r="E248" s="35" t="n">
        <v>40</v>
      </c>
      <c r="F248" s="35" t="s">
        <v>235</v>
      </c>
      <c r="G248" s="35" t="s">
        <v>216</v>
      </c>
      <c r="H248" s="35" t="s">
        <v>209</v>
      </c>
      <c r="I248" s="35" t="s">
        <v>200</v>
      </c>
      <c r="J248" s="35" t="n">
        <v>3</v>
      </c>
      <c r="K248" s="65" t="n">
        <v>25277.79</v>
      </c>
      <c r="L248" s="65" t="n">
        <v>75833.37</v>
      </c>
      <c r="M248" s="66" t="n">
        <f aca="false">DATE(YEAR(B248),MONTH(B248),1)</f>
        <v>45689</v>
      </c>
      <c r="N248" s="35" t="str">
        <f aca="false">IF(G248="","Unknown",G248)</f>
        <v>Patna</v>
      </c>
      <c r="O248" s="35" t="str">
        <f aca="false">IF(E248="","Unknown",IF(E248&lt;=25,"18-25",IF(E248&lt;=35,"26-35",IF(E248&lt;=45,"36-45",IF(E248&lt;=55,"46-55","56-65")))))</f>
        <v>36-45</v>
      </c>
      <c r="P248" s="35" t="n">
        <f aca="false">COUNTIF($C$2:$C$1001,C248)</f>
        <v>1</v>
      </c>
      <c r="Q248" s="35" t="n">
        <f aca="false">IF(COUNTIF($C$2:C248,C248)=1,1,0)</f>
        <v>1</v>
      </c>
    </row>
    <row r="249" customFormat="false" ht="15" hidden="false" customHeight="false" outlineLevel="0" collapsed="false">
      <c r="A249" s="35" t="s">
        <v>939</v>
      </c>
      <c r="B249" s="64" t="n">
        <v>45680</v>
      </c>
      <c r="C249" s="35" t="s">
        <v>940</v>
      </c>
      <c r="D249" s="35" t="s">
        <v>941</v>
      </c>
      <c r="E249" s="35" t="n">
        <v>19</v>
      </c>
      <c r="F249" s="35" t="s">
        <v>235</v>
      </c>
      <c r="G249" s="35" t="s">
        <v>220</v>
      </c>
      <c r="H249" s="35" t="s">
        <v>212</v>
      </c>
      <c r="I249" s="35" t="s">
        <v>203</v>
      </c>
      <c r="J249" s="35" t="n">
        <v>10</v>
      </c>
      <c r="K249" s="65" t="n">
        <v>30855.5</v>
      </c>
      <c r="L249" s="65" t="n">
        <v>308555</v>
      </c>
      <c r="M249" s="66" t="n">
        <f aca="false">DATE(YEAR(B249),MONTH(B249),1)</f>
        <v>45658</v>
      </c>
      <c r="N249" s="35" t="str">
        <f aca="false">IF(G249="","Unknown",G249)</f>
        <v>Hyderabad</v>
      </c>
      <c r="O249" s="35" t="str">
        <f aca="false">IF(E249="","Unknown",IF(E249&lt;=25,"18-25",IF(E249&lt;=35,"26-35",IF(E249&lt;=45,"36-45",IF(E249&lt;=55,"46-55","56-65")))))</f>
        <v>18-25</v>
      </c>
      <c r="P249" s="35" t="n">
        <f aca="false">COUNTIF($C$2:$C$1001,C249)</f>
        <v>1</v>
      </c>
      <c r="Q249" s="35" t="n">
        <f aca="false">IF(COUNTIF($C$2:C249,C249)=1,1,0)</f>
        <v>1</v>
      </c>
    </row>
    <row r="250" customFormat="false" ht="15" hidden="false" customHeight="false" outlineLevel="0" collapsed="false">
      <c r="A250" s="35" t="s">
        <v>942</v>
      </c>
      <c r="B250" s="64" t="n">
        <v>46011</v>
      </c>
      <c r="C250" s="35" t="s">
        <v>943</v>
      </c>
      <c r="D250" s="35" t="s">
        <v>944</v>
      </c>
      <c r="E250" s="35"/>
      <c r="F250" s="35" t="s">
        <v>235</v>
      </c>
      <c r="G250" s="35" t="s">
        <v>221</v>
      </c>
      <c r="H250" s="35" t="s">
        <v>209</v>
      </c>
      <c r="I250" s="35" t="s">
        <v>200</v>
      </c>
      <c r="J250" s="35" t="n">
        <v>7</v>
      </c>
      <c r="K250" s="65" t="n">
        <v>19829.73</v>
      </c>
      <c r="L250" s="65" t="n">
        <v>138808.11</v>
      </c>
      <c r="M250" s="66" t="n">
        <f aca="false">DATE(YEAR(B250),MONTH(B250),1)</f>
        <v>45992</v>
      </c>
      <c r="N250" s="35" t="str">
        <f aca="false">IF(G250="","Unknown",G250)</f>
        <v>Delhi</v>
      </c>
      <c r="O250" s="35" t="str">
        <f aca="false">IF(E250="","Unknown",IF(E250&lt;=25,"18-25",IF(E250&lt;=35,"26-35",IF(E250&lt;=45,"36-45",IF(E250&lt;=55,"46-55","56-65")))))</f>
        <v>Unknown</v>
      </c>
      <c r="P250" s="35" t="n">
        <f aca="false">COUNTIF($C$2:$C$1001,C250)</f>
        <v>1</v>
      </c>
      <c r="Q250" s="35" t="n">
        <f aca="false">IF(COUNTIF($C$2:C250,C250)=1,1,0)</f>
        <v>1</v>
      </c>
    </row>
    <row r="251" customFormat="false" ht="15" hidden="false" customHeight="false" outlineLevel="0" collapsed="false">
      <c r="A251" s="35" t="s">
        <v>945</v>
      </c>
      <c r="B251" s="64" t="n">
        <v>45749</v>
      </c>
      <c r="C251" s="35" t="s">
        <v>946</v>
      </c>
      <c r="D251" s="35" t="s">
        <v>760</v>
      </c>
      <c r="E251" s="35" t="n">
        <v>42</v>
      </c>
      <c r="F251" s="35" t="s">
        <v>234</v>
      </c>
      <c r="G251" s="35" t="s">
        <v>216</v>
      </c>
      <c r="H251" s="35" t="s">
        <v>208</v>
      </c>
      <c r="I251" s="35" t="s">
        <v>200</v>
      </c>
      <c r="J251" s="35" t="n">
        <v>7</v>
      </c>
      <c r="K251" s="65" t="n">
        <v>46461.17</v>
      </c>
      <c r="L251" s="65" t="n">
        <v>325228.19</v>
      </c>
      <c r="M251" s="66" t="n">
        <f aca="false">DATE(YEAR(B251),MONTH(B251),1)</f>
        <v>45748</v>
      </c>
      <c r="N251" s="35" t="str">
        <f aca="false">IF(G251="","Unknown",G251)</f>
        <v>Patna</v>
      </c>
      <c r="O251" s="35" t="str">
        <f aca="false">IF(E251="","Unknown",IF(E251&lt;=25,"18-25",IF(E251&lt;=35,"26-35",IF(E251&lt;=45,"36-45",IF(E251&lt;=55,"46-55","56-65")))))</f>
        <v>36-45</v>
      </c>
      <c r="P251" s="35" t="n">
        <f aca="false">COUNTIF($C$2:$C$1001,C251)</f>
        <v>1</v>
      </c>
      <c r="Q251" s="35" t="n">
        <f aca="false">IF(COUNTIF($C$2:C251,C251)=1,1,0)</f>
        <v>1</v>
      </c>
    </row>
    <row r="252" customFormat="false" ht="15" hidden="false" customHeight="false" outlineLevel="0" collapsed="false">
      <c r="A252" s="35" t="s">
        <v>947</v>
      </c>
      <c r="B252" s="64" t="n">
        <v>45897</v>
      </c>
      <c r="C252" s="35" t="s">
        <v>948</v>
      </c>
      <c r="D252" s="35" t="s">
        <v>488</v>
      </c>
      <c r="E252" s="35" t="n">
        <v>26</v>
      </c>
      <c r="F252" s="35" t="s">
        <v>234</v>
      </c>
      <c r="G252" s="35" t="s">
        <v>220</v>
      </c>
      <c r="H252" s="35" t="s">
        <v>210</v>
      </c>
      <c r="I252" s="35" t="s">
        <v>201</v>
      </c>
      <c r="J252" s="35" t="n">
        <v>2</v>
      </c>
      <c r="K252" s="65" t="n">
        <v>32168.36</v>
      </c>
      <c r="L252" s="65" t="n">
        <v>64336.72</v>
      </c>
      <c r="M252" s="66" t="n">
        <f aca="false">DATE(YEAR(B252),MONTH(B252),1)</f>
        <v>45870</v>
      </c>
      <c r="N252" s="35" t="str">
        <f aca="false">IF(G252="","Unknown",G252)</f>
        <v>Hyderabad</v>
      </c>
      <c r="O252" s="35" t="str">
        <f aca="false">IF(E252="","Unknown",IF(E252&lt;=25,"18-25",IF(E252&lt;=35,"26-35",IF(E252&lt;=45,"36-45",IF(E252&lt;=55,"46-55","56-65")))))</f>
        <v>26-35</v>
      </c>
      <c r="P252" s="35" t="n">
        <f aca="false">COUNTIF($C$2:$C$1001,C252)</f>
        <v>1</v>
      </c>
      <c r="Q252" s="35" t="n">
        <f aca="false">IF(COUNTIF($C$2:C252,C252)=1,1,0)</f>
        <v>1</v>
      </c>
    </row>
    <row r="253" customFormat="false" ht="15" hidden="false" customHeight="false" outlineLevel="0" collapsed="false">
      <c r="A253" s="35" t="s">
        <v>949</v>
      </c>
      <c r="B253" s="64" t="n">
        <v>45763</v>
      </c>
      <c r="C253" s="35" t="s">
        <v>950</v>
      </c>
      <c r="D253" s="35" t="s">
        <v>891</v>
      </c>
      <c r="E253" s="35" t="n">
        <v>50</v>
      </c>
      <c r="F253" s="35" t="s">
        <v>234</v>
      </c>
      <c r="G253" s="35" t="s">
        <v>217</v>
      </c>
      <c r="H253" s="35" t="s">
        <v>210</v>
      </c>
      <c r="I253" s="35" t="s">
        <v>201</v>
      </c>
      <c r="J253" s="35" t="n">
        <v>2</v>
      </c>
      <c r="K253" s="65" t="n">
        <v>1655.36</v>
      </c>
      <c r="L253" s="65" t="n">
        <v>3310.72</v>
      </c>
      <c r="M253" s="66" t="n">
        <f aca="false">DATE(YEAR(B253),MONTH(B253),1)</f>
        <v>45748</v>
      </c>
      <c r="N253" s="35" t="str">
        <f aca="false">IF(G253="","Unknown",G253)</f>
        <v>Kolkata</v>
      </c>
      <c r="O253" s="35" t="str">
        <f aca="false">IF(E253="","Unknown",IF(E253&lt;=25,"18-25",IF(E253&lt;=35,"26-35",IF(E253&lt;=45,"36-45",IF(E253&lt;=55,"46-55","56-65")))))</f>
        <v>46-55</v>
      </c>
      <c r="P253" s="35" t="n">
        <f aca="false">COUNTIF($C$2:$C$1001,C253)</f>
        <v>1</v>
      </c>
      <c r="Q253" s="35" t="n">
        <f aca="false">IF(COUNTIF($C$2:C253,C253)=1,1,0)</f>
        <v>1</v>
      </c>
    </row>
    <row r="254" customFormat="false" ht="15" hidden="false" customHeight="false" outlineLevel="0" collapsed="false">
      <c r="A254" s="35" t="s">
        <v>951</v>
      </c>
      <c r="B254" s="64" t="n">
        <v>45886</v>
      </c>
      <c r="C254" s="35" t="s">
        <v>952</v>
      </c>
      <c r="D254" s="35" t="s">
        <v>663</v>
      </c>
      <c r="E254" s="35" t="n">
        <v>41</v>
      </c>
      <c r="F254" s="35" t="s">
        <v>235</v>
      </c>
      <c r="G254" s="35" t="s">
        <v>217</v>
      </c>
      <c r="H254" s="35" t="s">
        <v>210</v>
      </c>
      <c r="I254" s="35" t="s">
        <v>201</v>
      </c>
      <c r="J254" s="35" t="n">
        <v>4</v>
      </c>
      <c r="K254" s="65" t="n">
        <v>44463.18</v>
      </c>
      <c r="L254" s="65" t="n">
        <v>177852.72</v>
      </c>
      <c r="M254" s="66" t="n">
        <f aca="false">DATE(YEAR(B254),MONTH(B254),1)</f>
        <v>45870</v>
      </c>
      <c r="N254" s="35" t="str">
        <f aca="false">IF(G254="","Unknown",G254)</f>
        <v>Kolkata</v>
      </c>
      <c r="O254" s="35" t="str">
        <f aca="false">IF(E254="","Unknown",IF(E254&lt;=25,"18-25",IF(E254&lt;=35,"26-35",IF(E254&lt;=45,"36-45",IF(E254&lt;=55,"46-55","56-65")))))</f>
        <v>36-45</v>
      </c>
      <c r="P254" s="35" t="n">
        <f aca="false">COUNTIF($C$2:$C$1001,C254)</f>
        <v>1</v>
      </c>
      <c r="Q254" s="35" t="n">
        <f aca="false">IF(COUNTIF($C$2:C254,C254)=1,1,0)</f>
        <v>1</v>
      </c>
    </row>
    <row r="255" customFormat="false" ht="15" hidden="false" customHeight="false" outlineLevel="0" collapsed="false">
      <c r="A255" s="35" t="s">
        <v>953</v>
      </c>
      <c r="B255" s="64" t="n">
        <v>45779</v>
      </c>
      <c r="C255" s="35" t="s">
        <v>954</v>
      </c>
      <c r="D255" s="35" t="s">
        <v>896</v>
      </c>
      <c r="E255" s="35" t="n">
        <v>47</v>
      </c>
      <c r="F255" s="35" t="s">
        <v>235</v>
      </c>
      <c r="G255" s="35" t="s">
        <v>216</v>
      </c>
      <c r="H255" s="35" t="s">
        <v>212</v>
      </c>
      <c r="I255" s="35" t="s">
        <v>203</v>
      </c>
      <c r="J255" s="35" t="n">
        <v>6</v>
      </c>
      <c r="K255" s="65" t="n">
        <v>43576.14</v>
      </c>
      <c r="L255" s="65" t="n">
        <v>261456.84</v>
      </c>
      <c r="M255" s="66" t="n">
        <f aca="false">DATE(YEAR(B255),MONTH(B255),1)</f>
        <v>45778</v>
      </c>
      <c r="N255" s="35" t="str">
        <f aca="false">IF(G255="","Unknown",G255)</f>
        <v>Patna</v>
      </c>
      <c r="O255" s="35" t="str">
        <f aca="false">IF(E255="","Unknown",IF(E255&lt;=25,"18-25",IF(E255&lt;=35,"26-35",IF(E255&lt;=45,"36-45",IF(E255&lt;=55,"46-55","56-65")))))</f>
        <v>46-55</v>
      </c>
      <c r="P255" s="35" t="n">
        <f aca="false">COUNTIF($C$2:$C$1001,C255)</f>
        <v>1</v>
      </c>
      <c r="Q255" s="35" t="n">
        <f aca="false">IF(COUNTIF($C$2:C255,C255)=1,1,0)</f>
        <v>1</v>
      </c>
    </row>
    <row r="256" customFormat="false" ht="15" hidden="false" customHeight="false" outlineLevel="0" collapsed="false">
      <c r="A256" s="35" t="s">
        <v>955</v>
      </c>
      <c r="B256" s="64" t="n">
        <v>45780</v>
      </c>
      <c r="C256" s="35" t="s">
        <v>956</v>
      </c>
      <c r="D256" s="35" t="s">
        <v>957</v>
      </c>
      <c r="E256" s="35" t="n">
        <v>41</v>
      </c>
      <c r="F256" s="35" t="s">
        <v>235</v>
      </c>
      <c r="G256" s="35" t="s">
        <v>222</v>
      </c>
      <c r="H256" s="35" t="s">
        <v>212</v>
      </c>
      <c r="I256" s="35" t="s">
        <v>203</v>
      </c>
      <c r="J256" s="35" t="n">
        <v>1</v>
      </c>
      <c r="K256" s="65" t="n">
        <v>43789.89</v>
      </c>
      <c r="L256" s="65" t="n">
        <v>43789.89</v>
      </c>
      <c r="M256" s="66" t="n">
        <f aca="false">DATE(YEAR(B256),MONTH(B256),1)</f>
        <v>45778</v>
      </c>
      <c r="N256" s="35" t="str">
        <f aca="false">IF(G256="","Unknown",G256)</f>
        <v>Pune</v>
      </c>
      <c r="O256" s="35" t="str">
        <f aca="false">IF(E256="","Unknown",IF(E256&lt;=25,"18-25",IF(E256&lt;=35,"26-35",IF(E256&lt;=45,"36-45",IF(E256&lt;=55,"46-55","56-65")))))</f>
        <v>36-45</v>
      </c>
      <c r="P256" s="35" t="n">
        <f aca="false">COUNTIF($C$2:$C$1001,C256)</f>
        <v>1</v>
      </c>
      <c r="Q256" s="35" t="n">
        <f aca="false">IF(COUNTIF($C$2:C256,C256)=1,1,0)</f>
        <v>1</v>
      </c>
    </row>
    <row r="257" customFormat="false" ht="15" hidden="false" customHeight="false" outlineLevel="0" collapsed="false">
      <c r="A257" s="35" t="s">
        <v>958</v>
      </c>
      <c r="B257" s="64" t="n">
        <v>46006</v>
      </c>
      <c r="C257" s="35" t="s">
        <v>959</v>
      </c>
      <c r="D257" s="35" t="s">
        <v>960</v>
      </c>
      <c r="E257" s="35" t="n">
        <v>64</v>
      </c>
      <c r="F257" s="35" t="s">
        <v>234</v>
      </c>
      <c r="G257" s="35" t="s">
        <v>218</v>
      </c>
      <c r="H257" s="35" t="s">
        <v>209</v>
      </c>
      <c r="I257" s="35" t="s">
        <v>200</v>
      </c>
      <c r="J257" s="35" t="n">
        <v>1</v>
      </c>
      <c r="K257" s="65" t="n">
        <v>34757.71</v>
      </c>
      <c r="L257" s="65" t="n">
        <v>34757.71</v>
      </c>
      <c r="M257" s="66" t="n">
        <f aca="false">DATE(YEAR(B257),MONTH(B257),1)</f>
        <v>45992</v>
      </c>
      <c r="N257" s="35" t="str">
        <f aca="false">IF(G257="","Unknown",G257)</f>
        <v>Bengaluru</v>
      </c>
      <c r="O257" s="35" t="str">
        <f aca="false">IF(E257="","Unknown",IF(E257&lt;=25,"18-25",IF(E257&lt;=35,"26-35",IF(E257&lt;=45,"36-45",IF(E257&lt;=55,"46-55","56-65")))))</f>
        <v>56-65</v>
      </c>
      <c r="P257" s="35" t="n">
        <f aca="false">COUNTIF($C$2:$C$1001,C257)</f>
        <v>1</v>
      </c>
      <c r="Q257" s="35" t="n">
        <f aca="false">IF(COUNTIF($C$2:C257,C257)=1,1,0)</f>
        <v>1</v>
      </c>
    </row>
    <row r="258" customFormat="false" ht="15" hidden="false" customHeight="false" outlineLevel="0" collapsed="false">
      <c r="A258" s="35" t="s">
        <v>961</v>
      </c>
      <c r="B258" s="64" t="n">
        <v>45910</v>
      </c>
      <c r="C258" s="35" t="s">
        <v>962</v>
      </c>
      <c r="D258" s="35" t="s">
        <v>453</v>
      </c>
      <c r="E258" s="35" t="n">
        <v>41</v>
      </c>
      <c r="F258" s="35" t="s">
        <v>234</v>
      </c>
      <c r="G258" s="35" t="s">
        <v>222</v>
      </c>
      <c r="H258" s="35" t="s">
        <v>212</v>
      </c>
      <c r="I258" s="35" t="s">
        <v>203</v>
      </c>
      <c r="J258" s="35" t="n">
        <v>7</v>
      </c>
      <c r="K258" s="65" t="n">
        <v>6196.22</v>
      </c>
      <c r="L258" s="65" t="n">
        <v>43373.54</v>
      </c>
      <c r="M258" s="66" t="n">
        <f aca="false">DATE(YEAR(B258),MONTH(B258),1)</f>
        <v>45901</v>
      </c>
      <c r="N258" s="35" t="str">
        <f aca="false">IF(G258="","Unknown",G258)</f>
        <v>Pune</v>
      </c>
      <c r="O258" s="35" t="str">
        <f aca="false">IF(E258="","Unknown",IF(E258&lt;=25,"18-25",IF(E258&lt;=35,"26-35",IF(E258&lt;=45,"36-45",IF(E258&lt;=55,"46-55","56-65")))))</f>
        <v>36-45</v>
      </c>
      <c r="P258" s="35" t="n">
        <f aca="false">COUNTIF($C$2:$C$1001,C258)</f>
        <v>1</v>
      </c>
      <c r="Q258" s="35" t="n">
        <f aca="false">IF(COUNTIF($C$2:C258,C258)=1,1,0)</f>
        <v>1</v>
      </c>
    </row>
    <row r="259" customFormat="false" ht="15" hidden="false" customHeight="false" outlineLevel="0" collapsed="false">
      <c r="A259" s="35" t="s">
        <v>963</v>
      </c>
      <c r="B259" s="64" t="n">
        <v>45826</v>
      </c>
      <c r="C259" s="35" t="s">
        <v>964</v>
      </c>
      <c r="D259" s="35" t="s">
        <v>965</v>
      </c>
      <c r="E259" s="35" t="n">
        <v>27</v>
      </c>
      <c r="F259" s="35" t="s">
        <v>234</v>
      </c>
      <c r="G259" s="35" t="s">
        <v>222</v>
      </c>
      <c r="H259" s="35" t="s">
        <v>211</v>
      </c>
      <c r="I259" s="35" t="s">
        <v>202</v>
      </c>
      <c r="J259" s="35" t="n">
        <v>8</v>
      </c>
      <c r="K259" s="65" t="n">
        <v>36364.84</v>
      </c>
      <c r="L259" s="65" t="n">
        <v>290918.72</v>
      </c>
      <c r="M259" s="66" t="n">
        <f aca="false">DATE(YEAR(B259),MONTH(B259),1)</f>
        <v>45809</v>
      </c>
      <c r="N259" s="35" t="str">
        <f aca="false">IF(G259="","Unknown",G259)</f>
        <v>Pune</v>
      </c>
      <c r="O259" s="35" t="str">
        <f aca="false">IF(E259="","Unknown",IF(E259&lt;=25,"18-25",IF(E259&lt;=35,"26-35",IF(E259&lt;=45,"36-45",IF(E259&lt;=55,"46-55","56-65")))))</f>
        <v>26-35</v>
      </c>
      <c r="P259" s="35" t="n">
        <f aca="false">COUNTIF($C$2:$C$1001,C259)</f>
        <v>1</v>
      </c>
      <c r="Q259" s="35" t="n">
        <f aca="false">IF(COUNTIF($C$2:C259,C259)=1,1,0)</f>
        <v>1</v>
      </c>
    </row>
    <row r="260" customFormat="false" ht="15" hidden="false" customHeight="false" outlineLevel="0" collapsed="false">
      <c r="A260" s="35" t="s">
        <v>966</v>
      </c>
      <c r="B260" s="64" t="n">
        <v>45677</v>
      </c>
      <c r="C260" s="35" t="s">
        <v>967</v>
      </c>
      <c r="D260" s="35" t="s">
        <v>560</v>
      </c>
      <c r="E260" s="35" t="n">
        <v>32</v>
      </c>
      <c r="F260" s="35" t="s">
        <v>234</v>
      </c>
      <c r="G260" s="35" t="s">
        <v>220</v>
      </c>
      <c r="H260" s="35" t="s">
        <v>212</v>
      </c>
      <c r="I260" s="35" t="s">
        <v>203</v>
      </c>
      <c r="J260" s="35" t="n">
        <v>3</v>
      </c>
      <c r="K260" s="65" t="n">
        <v>15948.34</v>
      </c>
      <c r="L260" s="65" t="n">
        <v>47845.02</v>
      </c>
      <c r="M260" s="66" t="n">
        <f aca="false">DATE(YEAR(B260),MONTH(B260),1)</f>
        <v>45658</v>
      </c>
      <c r="N260" s="35" t="str">
        <f aca="false">IF(G260="","Unknown",G260)</f>
        <v>Hyderabad</v>
      </c>
      <c r="O260" s="35" t="str">
        <f aca="false">IF(E260="","Unknown",IF(E260&lt;=25,"18-25",IF(E260&lt;=35,"26-35",IF(E260&lt;=45,"36-45",IF(E260&lt;=55,"46-55","56-65")))))</f>
        <v>26-35</v>
      </c>
      <c r="P260" s="35" t="n">
        <f aca="false">COUNTIF($C$2:$C$1001,C260)</f>
        <v>2</v>
      </c>
      <c r="Q260" s="35" t="n">
        <f aca="false">IF(COUNTIF($C$2:C260,C260)=1,1,0)</f>
        <v>1</v>
      </c>
    </row>
    <row r="261" customFormat="false" ht="15" hidden="false" customHeight="false" outlineLevel="0" collapsed="false">
      <c r="A261" s="35" t="s">
        <v>968</v>
      </c>
      <c r="B261" s="64" t="n">
        <v>45847</v>
      </c>
      <c r="C261" s="35" t="s">
        <v>969</v>
      </c>
      <c r="D261" s="35" t="s">
        <v>503</v>
      </c>
      <c r="E261" s="35" t="n">
        <v>23</v>
      </c>
      <c r="F261" s="35" t="s">
        <v>234</v>
      </c>
      <c r="G261" s="35" t="s">
        <v>223</v>
      </c>
      <c r="H261" s="35" t="s">
        <v>212</v>
      </c>
      <c r="I261" s="35" t="s">
        <v>203</v>
      </c>
      <c r="J261" s="35" t="n">
        <v>5</v>
      </c>
      <c r="K261" s="65" t="n">
        <v>17292.4</v>
      </c>
      <c r="L261" s="65" t="n">
        <v>86462</v>
      </c>
      <c r="M261" s="66" t="n">
        <f aca="false">DATE(YEAR(B261),MONTH(B261),1)</f>
        <v>45839</v>
      </c>
      <c r="N261" s="35" t="str">
        <f aca="false">IF(G261="","Unknown",G261)</f>
        <v>Gaya</v>
      </c>
      <c r="O261" s="35" t="str">
        <f aca="false">IF(E261="","Unknown",IF(E261&lt;=25,"18-25",IF(E261&lt;=35,"26-35",IF(E261&lt;=45,"36-45",IF(E261&lt;=55,"46-55","56-65")))))</f>
        <v>18-25</v>
      </c>
      <c r="P261" s="35" t="n">
        <f aca="false">COUNTIF($C$2:$C$1001,C261)</f>
        <v>1</v>
      </c>
      <c r="Q261" s="35" t="n">
        <f aca="false">IF(COUNTIF($C$2:C261,C261)=1,1,0)</f>
        <v>1</v>
      </c>
    </row>
    <row r="262" customFormat="false" ht="15" hidden="false" customHeight="false" outlineLevel="0" collapsed="false">
      <c r="A262" s="35" t="s">
        <v>970</v>
      </c>
      <c r="B262" s="64" t="n">
        <v>45958</v>
      </c>
      <c r="C262" s="35" t="s">
        <v>971</v>
      </c>
      <c r="D262" s="35" t="s">
        <v>935</v>
      </c>
      <c r="E262" s="35" t="n">
        <v>56</v>
      </c>
      <c r="F262" s="35" t="s">
        <v>235</v>
      </c>
      <c r="G262" s="35" t="s">
        <v>216</v>
      </c>
      <c r="H262" s="35" t="s">
        <v>212</v>
      </c>
      <c r="I262" s="35" t="s">
        <v>203</v>
      </c>
      <c r="J262" s="35" t="n">
        <v>6</v>
      </c>
      <c r="K262" s="65" t="n">
        <v>29255.02</v>
      </c>
      <c r="L262" s="65" t="n">
        <v>175530.12</v>
      </c>
      <c r="M262" s="66" t="n">
        <f aca="false">DATE(YEAR(B262),MONTH(B262),1)</f>
        <v>45931</v>
      </c>
      <c r="N262" s="35" t="str">
        <f aca="false">IF(G262="","Unknown",G262)</f>
        <v>Patna</v>
      </c>
      <c r="O262" s="35" t="str">
        <f aca="false">IF(E262="","Unknown",IF(E262&lt;=25,"18-25",IF(E262&lt;=35,"26-35",IF(E262&lt;=45,"36-45",IF(E262&lt;=55,"46-55","56-65")))))</f>
        <v>56-65</v>
      </c>
      <c r="P262" s="35" t="n">
        <f aca="false">COUNTIF($C$2:$C$1001,C262)</f>
        <v>1</v>
      </c>
      <c r="Q262" s="35" t="n">
        <f aca="false">IF(COUNTIF($C$2:C262,C262)=1,1,0)</f>
        <v>1</v>
      </c>
    </row>
    <row r="263" customFormat="false" ht="15" hidden="false" customHeight="false" outlineLevel="0" collapsed="false">
      <c r="A263" s="35" t="s">
        <v>972</v>
      </c>
      <c r="B263" s="64" t="n">
        <v>45830</v>
      </c>
      <c r="C263" s="35" t="s">
        <v>973</v>
      </c>
      <c r="D263" s="35" t="s">
        <v>974</v>
      </c>
      <c r="E263" s="35" t="n">
        <v>21</v>
      </c>
      <c r="F263" s="35" t="s">
        <v>234</v>
      </c>
      <c r="G263" s="35" t="s">
        <v>220</v>
      </c>
      <c r="H263" s="35" t="s">
        <v>211</v>
      </c>
      <c r="I263" s="35" t="s">
        <v>202</v>
      </c>
      <c r="J263" s="35" t="n">
        <v>4</v>
      </c>
      <c r="K263" s="65" t="n">
        <v>25906.46</v>
      </c>
      <c r="L263" s="65" t="n">
        <v>103625.84</v>
      </c>
      <c r="M263" s="66" t="n">
        <f aca="false">DATE(YEAR(B263),MONTH(B263),1)</f>
        <v>45809</v>
      </c>
      <c r="N263" s="35" t="str">
        <f aca="false">IF(G263="","Unknown",G263)</f>
        <v>Hyderabad</v>
      </c>
      <c r="O263" s="35" t="str">
        <f aca="false">IF(E263="","Unknown",IF(E263&lt;=25,"18-25",IF(E263&lt;=35,"26-35",IF(E263&lt;=45,"36-45",IF(E263&lt;=55,"46-55","56-65")))))</f>
        <v>18-25</v>
      </c>
      <c r="P263" s="35" t="n">
        <f aca="false">COUNTIF($C$2:$C$1001,C263)</f>
        <v>1</v>
      </c>
      <c r="Q263" s="35" t="n">
        <f aca="false">IF(COUNTIF($C$2:C263,C263)=1,1,0)</f>
        <v>1</v>
      </c>
    </row>
    <row r="264" customFormat="false" ht="15" hidden="false" customHeight="false" outlineLevel="0" collapsed="false">
      <c r="A264" s="35" t="s">
        <v>975</v>
      </c>
      <c r="B264" s="64" t="n">
        <v>45765</v>
      </c>
      <c r="C264" s="35" t="s">
        <v>976</v>
      </c>
      <c r="D264" s="35" t="s">
        <v>882</v>
      </c>
      <c r="E264" s="35" t="n">
        <v>33</v>
      </c>
      <c r="F264" s="35" t="s">
        <v>234</v>
      </c>
      <c r="G264" s="35" t="s">
        <v>218</v>
      </c>
      <c r="H264" s="35" t="s">
        <v>212</v>
      </c>
      <c r="I264" s="35" t="s">
        <v>203</v>
      </c>
      <c r="J264" s="35" t="n">
        <v>9</v>
      </c>
      <c r="K264" s="65" t="n">
        <v>6110.1</v>
      </c>
      <c r="L264" s="65" t="n">
        <v>54990.9</v>
      </c>
      <c r="M264" s="66" t="n">
        <f aca="false">DATE(YEAR(B264),MONTH(B264),1)</f>
        <v>45748</v>
      </c>
      <c r="N264" s="35" t="str">
        <f aca="false">IF(G264="","Unknown",G264)</f>
        <v>Bengaluru</v>
      </c>
      <c r="O264" s="35" t="str">
        <f aca="false">IF(E264="","Unknown",IF(E264&lt;=25,"18-25",IF(E264&lt;=35,"26-35",IF(E264&lt;=45,"36-45",IF(E264&lt;=55,"46-55","56-65")))))</f>
        <v>26-35</v>
      </c>
      <c r="P264" s="35" t="n">
        <f aca="false">COUNTIF($C$2:$C$1001,C264)</f>
        <v>1</v>
      </c>
      <c r="Q264" s="35" t="n">
        <f aca="false">IF(COUNTIF($C$2:C264,C264)=1,1,0)</f>
        <v>1</v>
      </c>
    </row>
    <row r="265" customFormat="false" ht="15" hidden="false" customHeight="false" outlineLevel="0" collapsed="false">
      <c r="A265" s="35" t="s">
        <v>977</v>
      </c>
      <c r="B265" s="64" t="n">
        <v>45781</v>
      </c>
      <c r="C265" s="35" t="s">
        <v>978</v>
      </c>
      <c r="D265" s="35" t="s">
        <v>979</v>
      </c>
      <c r="E265" s="35" t="n">
        <v>35</v>
      </c>
      <c r="F265" s="35" t="s">
        <v>234</v>
      </c>
      <c r="G265" s="35" t="s">
        <v>220</v>
      </c>
      <c r="H265" s="35" t="s">
        <v>212</v>
      </c>
      <c r="I265" s="35" t="s">
        <v>203</v>
      </c>
      <c r="J265" s="35" t="n">
        <v>10</v>
      </c>
      <c r="K265" s="65" t="n">
        <v>36331.75</v>
      </c>
      <c r="L265" s="65" t="n">
        <v>363317.5</v>
      </c>
      <c r="M265" s="66" t="n">
        <f aca="false">DATE(YEAR(B265),MONTH(B265),1)</f>
        <v>45778</v>
      </c>
      <c r="N265" s="35" t="str">
        <f aca="false">IF(G265="","Unknown",G265)</f>
        <v>Hyderabad</v>
      </c>
      <c r="O265" s="35" t="str">
        <f aca="false">IF(E265="","Unknown",IF(E265&lt;=25,"18-25",IF(E265&lt;=35,"26-35",IF(E265&lt;=45,"36-45",IF(E265&lt;=55,"46-55","56-65")))))</f>
        <v>26-35</v>
      </c>
      <c r="P265" s="35" t="n">
        <f aca="false">COUNTIF($C$2:$C$1001,C265)</f>
        <v>1</v>
      </c>
      <c r="Q265" s="35" t="n">
        <f aca="false">IF(COUNTIF($C$2:C265,C265)=1,1,0)</f>
        <v>1</v>
      </c>
    </row>
    <row r="266" customFormat="false" ht="15" hidden="false" customHeight="false" outlineLevel="0" collapsed="false">
      <c r="A266" s="35" t="s">
        <v>980</v>
      </c>
      <c r="B266" s="64" t="n">
        <v>45987</v>
      </c>
      <c r="C266" s="35" t="s">
        <v>981</v>
      </c>
      <c r="D266" s="35" t="s">
        <v>982</v>
      </c>
      <c r="E266" s="35" t="n">
        <v>40</v>
      </c>
      <c r="F266" s="35" t="s">
        <v>235</v>
      </c>
      <c r="G266" s="35" t="s">
        <v>223</v>
      </c>
      <c r="H266" s="35" t="s">
        <v>211</v>
      </c>
      <c r="I266" s="35" t="s">
        <v>202</v>
      </c>
      <c r="J266" s="35" t="n">
        <v>8</v>
      </c>
      <c r="K266" s="65" t="n">
        <v>6459.95</v>
      </c>
      <c r="L266" s="65" t="n">
        <v>51679.6</v>
      </c>
      <c r="M266" s="66" t="n">
        <f aca="false">DATE(YEAR(B266),MONTH(B266),1)</f>
        <v>45962</v>
      </c>
      <c r="N266" s="35" t="str">
        <f aca="false">IF(G266="","Unknown",G266)</f>
        <v>Gaya</v>
      </c>
      <c r="O266" s="35" t="str">
        <f aca="false">IF(E266="","Unknown",IF(E266&lt;=25,"18-25",IF(E266&lt;=35,"26-35",IF(E266&lt;=45,"36-45",IF(E266&lt;=55,"46-55","56-65")))))</f>
        <v>36-45</v>
      </c>
      <c r="P266" s="35" t="n">
        <f aca="false">COUNTIF($C$2:$C$1001,C266)</f>
        <v>1</v>
      </c>
      <c r="Q266" s="35" t="n">
        <f aca="false">IF(COUNTIF($C$2:C266,C266)=1,1,0)</f>
        <v>1</v>
      </c>
    </row>
    <row r="267" customFormat="false" ht="15" hidden="false" customHeight="false" outlineLevel="0" collapsed="false">
      <c r="A267" s="35" t="s">
        <v>983</v>
      </c>
      <c r="B267" s="64" t="n">
        <v>45783</v>
      </c>
      <c r="C267" s="35" t="s">
        <v>984</v>
      </c>
      <c r="D267" s="35" t="s">
        <v>985</v>
      </c>
      <c r="E267" s="35" t="n">
        <v>21</v>
      </c>
      <c r="F267" s="35" t="s">
        <v>235</v>
      </c>
      <c r="G267" s="35" t="s">
        <v>218</v>
      </c>
      <c r="H267" s="35" t="s">
        <v>210</v>
      </c>
      <c r="I267" s="35" t="s">
        <v>201</v>
      </c>
      <c r="J267" s="35" t="n">
        <v>4</v>
      </c>
      <c r="K267" s="65" t="n">
        <v>25164.5</v>
      </c>
      <c r="L267" s="65" t="n">
        <v>100658</v>
      </c>
      <c r="M267" s="66" t="n">
        <f aca="false">DATE(YEAR(B267),MONTH(B267),1)</f>
        <v>45778</v>
      </c>
      <c r="N267" s="35" t="str">
        <f aca="false">IF(G267="","Unknown",G267)</f>
        <v>Bengaluru</v>
      </c>
      <c r="O267" s="35" t="str">
        <f aca="false">IF(E267="","Unknown",IF(E267&lt;=25,"18-25",IF(E267&lt;=35,"26-35",IF(E267&lt;=45,"36-45",IF(E267&lt;=55,"46-55","56-65")))))</f>
        <v>18-25</v>
      </c>
      <c r="P267" s="35" t="n">
        <f aca="false">COUNTIF($C$2:$C$1001,C267)</f>
        <v>1</v>
      </c>
      <c r="Q267" s="35" t="n">
        <f aca="false">IF(COUNTIF($C$2:C267,C267)=1,1,0)</f>
        <v>1</v>
      </c>
    </row>
    <row r="268" customFormat="false" ht="15" hidden="false" customHeight="false" outlineLevel="0" collapsed="false">
      <c r="A268" s="35" t="s">
        <v>986</v>
      </c>
      <c r="B268" s="64" t="n">
        <v>45751</v>
      </c>
      <c r="C268" s="35" t="s">
        <v>987</v>
      </c>
      <c r="D268" s="35" t="s">
        <v>988</v>
      </c>
      <c r="E268" s="35" t="n">
        <v>25</v>
      </c>
      <c r="F268" s="35" t="s">
        <v>234</v>
      </c>
      <c r="G268" s="35" t="s">
        <v>218</v>
      </c>
      <c r="H268" s="35" t="s">
        <v>208</v>
      </c>
      <c r="I268" s="35" t="s">
        <v>200</v>
      </c>
      <c r="J268" s="35" t="n">
        <v>5</v>
      </c>
      <c r="K268" s="65" t="n">
        <v>49665.71</v>
      </c>
      <c r="L268" s="65" t="n">
        <v>248328.55</v>
      </c>
      <c r="M268" s="66" t="n">
        <f aca="false">DATE(YEAR(B268),MONTH(B268),1)</f>
        <v>45748</v>
      </c>
      <c r="N268" s="35" t="str">
        <f aca="false">IF(G268="","Unknown",G268)</f>
        <v>Bengaluru</v>
      </c>
      <c r="O268" s="35" t="str">
        <f aca="false">IF(E268="","Unknown",IF(E268&lt;=25,"18-25",IF(E268&lt;=35,"26-35",IF(E268&lt;=45,"36-45",IF(E268&lt;=55,"46-55","56-65")))))</f>
        <v>18-25</v>
      </c>
      <c r="P268" s="35" t="n">
        <f aca="false">COUNTIF($C$2:$C$1001,C268)</f>
        <v>1</v>
      </c>
      <c r="Q268" s="35" t="n">
        <f aca="false">IF(COUNTIF($C$2:C268,C268)=1,1,0)</f>
        <v>1</v>
      </c>
    </row>
    <row r="269" customFormat="false" ht="15" hidden="false" customHeight="false" outlineLevel="0" collapsed="false">
      <c r="A269" s="35" t="s">
        <v>989</v>
      </c>
      <c r="B269" s="64" t="n">
        <v>45870</v>
      </c>
      <c r="C269" s="35" t="s">
        <v>990</v>
      </c>
      <c r="D269" s="35" t="s">
        <v>991</v>
      </c>
      <c r="E269" s="35" t="n">
        <v>31</v>
      </c>
      <c r="F269" s="35" t="s">
        <v>235</v>
      </c>
      <c r="G269" s="35" t="s">
        <v>222</v>
      </c>
      <c r="H269" s="35" t="s">
        <v>210</v>
      </c>
      <c r="I269" s="35" t="s">
        <v>201</v>
      </c>
      <c r="J269" s="35" t="n">
        <v>7</v>
      </c>
      <c r="K269" s="65" t="n">
        <v>13789.53</v>
      </c>
      <c r="L269" s="65" t="n">
        <v>96526.71</v>
      </c>
      <c r="M269" s="66" t="n">
        <f aca="false">DATE(YEAR(B269),MONTH(B269),1)</f>
        <v>45870</v>
      </c>
      <c r="N269" s="35" t="str">
        <f aca="false">IF(G269="","Unknown",G269)</f>
        <v>Pune</v>
      </c>
      <c r="O269" s="35" t="str">
        <f aca="false">IF(E269="","Unknown",IF(E269&lt;=25,"18-25",IF(E269&lt;=35,"26-35",IF(E269&lt;=45,"36-45",IF(E269&lt;=55,"46-55","56-65")))))</f>
        <v>26-35</v>
      </c>
      <c r="P269" s="35" t="n">
        <f aca="false">COUNTIF($C$2:$C$1001,C269)</f>
        <v>1</v>
      </c>
      <c r="Q269" s="35" t="n">
        <f aca="false">IF(COUNTIF($C$2:C269,C269)=1,1,0)</f>
        <v>1</v>
      </c>
    </row>
    <row r="270" customFormat="false" ht="15" hidden="false" customHeight="false" outlineLevel="0" collapsed="false">
      <c r="A270" s="35" t="s">
        <v>992</v>
      </c>
      <c r="B270" s="64" t="n">
        <v>45955</v>
      </c>
      <c r="C270" s="35" t="s">
        <v>993</v>
      </c>
      <c r="D270" s="35" t="s">
        <v>994</v>
      </c>
      <c r="E270" s="35" t="n">
        <v>54</v>
      </c>
      <c r="F270" s="35" t="s">
        <v>234</v>
      </c>
      <c r="G270" s="35" t="s">
        <v>217</v>
      </c>
      <c r="H270" s="35" t="s">
        <v>208</v>
      </c>
      <c r="I270" s="35" t="s">
        <v>200</v>
      </c>
      <c r="J270" s="35" t="n">
        <v>5</v>
      </c>
      <c r="K270" s="65" t="n">
        <v>16404.25</v>
      </c>
      <c r="L270" s="65" t="n">
        <v>82021.25</v>
      </c>
      <c r="M270" s="66" t="n">
        <f aca="false">DATE(YEAR(B270),MONTH(B270),1)</f>
        <v>45931</v>
      </c>
      <c r="N270" s="35" t="str">
        <f aca="false">IF(G270="","Unknown",G270)</f>
        <v>Kolkata</v>
      </c>
      <c r="O270" s="35" t="str">
        <f aca="false">IF(E270="","Unknown",IF(E270&lt;=25,"18-25",IF(E270&lt;=35,"26-35",IF(E270&lt;=45,"36-45",IF(E270&lt;=55,"46-55","56-65")))))</f>
        <v>46-55</v>
      </c>
      <c r="P270" s="35" t="n">
        <f aca="false">COUNTIF($C$2:$C$1001,C270)</f>
        <v>1</v>
      </c>
      <c r="Q270" s="35" t="n">
        <f aca="false">IF(COUNTIF($C$2:C270,C270)=1,1,0)</f>
        <v>1</v>
      </c>
    </row>
    <row r="271" customFormat="false" ht="15" hidden="false" customHeight="false" outlineLevel="0" collapsed="false">
      <c r="A271" s="35" t="s">
        <v>995</v>
      </c>
      <c r="B271" s="64" t="n">
        <v>46017</v>
      </c>
      <c r="C271" s="35" t="s">
        <v>996</v>
      </c>
      <c r="D271" s="35" t="s">
        <v>988</v>
      </c>
      <c r="E271" s="35" t="n">
        <v>48</v>
      </c>
      <c r="F271" s="35" t="s">
        <v>234</v>
      </c>
      <c r="G271" s="35" t="s">
        <v>222</v>
      </c>
      <c r="H271" s="35" t="s">
        <v>210</v>
      </c>
      <c r="I271" s="35" t="s">
        <v>201</v>
      </c>
      <c r="J271" s="35" t="n">
        <v>3</v>
      </c>
      <c r="K271" s="65" t="n">
        <v>32373.88</v>
      </c>
      <c r="L271" s="65" t="n">
        <v>97121.64</v>
      </c>
      <c r="M271" s="66" t="n">
        <f aca="false">DATE(YEAR(B271),MONTH(B271),1)</f>
        <v>45992</v>
      </c>
      <c r="N271" s="35" t="str">
        <f aca="false">IF(G271="","Unknown",G271)</f>
        <v>Pune</v>
      </c>
      <c r="O271" s="35" t="str">
        <f aca="false">IF(E271="","Unknown",IF(E271&lt;=25,"18-25",IF(E271&lt;=35,"26-35",IF(E271&lt;=45,"36-45",IF(E271&lt;=55,"46-55","56-65")))))</f>
        <v>46-55</v>
      </c>
      <c r="P271" s="35" t="n">
        <f aca="false">COUNTIF($C$2:$C$1001,C271)</f>
        <v>2</v>
      </c>
      <c r="Q271" s="35" t="n">
        <f aca="false">IF(COUNTIF($C$2:C271,C271)=1,1,0)</f>
        <v>1</v>
      </c>
    </row>
    <row r="272" customFormat="false" ht="15" hidden="false" customHeight="false" outlineLevel="0" collapsed="false">
      <c r="A272" s="35" t="s">
        <v>997</v>
      </c>
      <c r="B272" s="64" t="n">
        <v>45872</v>
      </c>
      <c r="C272" s="35" t="s">
        <v>998</v>
      </c>
      <c r="D272" s="35" t="s">
        <v>450</v>
      </c>
      <c r="E272" s="35" t="n">
        <v>22</v>
      </c>
      <c r="F272" s="35" t="s">
        <v>234</v>
      </c>
      <c r="G272" s="35" t="s">
        <v>222</v>
      </c>
      <c r="H272" s="35" t="s">
        <v>209</v>
      </c>
      <c r="I272" s="35" t="s">
        <v>200</v>
      </c>
      <c r="J272" s="35" t="n">
        <v>7</v>
      </c>
      <c r="K272" s="65" t="n">
        <v>21466.96</v>
      </c>
      <c r="L272" s="65" t="n">
        <v>150268.72</v>
      </c>
      <c r="M272" s="66" t="n">
        <f aca="false">DATE(YEAR(B272),MONTH(B272),1)</f>
        <v>45870</v>
      </c>
      <c r="N272" s="35" t="str">
        <f aca="false">IF(G272="","Unknown",G272)</f>
        <v>Pune</v>
      </c>
      <c r="O272" s="35" t="str">
        <f aca="false">IF(E272="","Unknown",IF(E272&lt;=25,"18-25",IF(E272&lt;=35,"26-35",IF(E272&lt;=45,"36-45",IF(E272&lt;=55,"46-55","56-65")))))</f>
        <v>18-25</v>
      </c>
      <c r="P272" s="35" t="n">
        <f aca="false">COUNTIF($C$2:$C$1001,C272)</f>
        <v>1</v>
      </c>
      <c r="Q272" s="35" t="n">
        <f aca="false">IF(COUNTIF($C$2:C272,C272)=1,1,0)</f>
        <v>1</v>
      </c>
    </row>
    <row r="273" customFormat="false" ht="15" hidden="false" customHeight="false" outlineLevel="0" collapsed="false">
      <c r="A273" s="35" t="s">
        <v>999</v>
      </c>
      <c r="B273" s="64" t="n">
        <v>45667</v>
      </c>
      <c r="C273" s="35" t="s">
        <v>1000</v>
      </c>
      <c r="D273" s="35" t="s">
        <v>523</v>
      </c>
      <c r="E273" s="35" t="n">
        <v>62</v>
      </c>
      <c r="F273" s="35" t="s">
        <v>235</v>
      </c>
      <c r="G273" s="35" t="s">
        <v>216</v>
      </c>
      <c r="H273" s="35" t="s">
        <v>210</v>
      </c>
      <c r="I273" s="35" t="s">
        <v>201</v>
      </c>
      <c r="J273" s="35" t="n">
        <v>5</v>
      </c>
      <c r="K273" s="65" t="n">
        <v>47201.84</v>
      </c>
      <c r="L273" s="65" t="n">
        <v>236009.2</v>
      </c>
      <c r="M273" s="66" t="n">
        <f aca="false">DATE(YEAR(B273),MONTH(B273),1)</f>
        <v>45658</v>
      </c>
      <c r="N273" s="35" t="str">
        <f aca="false">IF(G273="","Unknown",G273)</f>
        <v>Patna</v>
      </c>
      <c r="O273" s="35" t="str">
        <f aca="false">IF(E273="","Unknown",IF(E273&lt;=25,"18-25",IF(E273&lt;=35,"26-35",IF(E273&lt;=45,"36-45",IF(E273&lt;=55,"46-55","56-65")))))</f>
        <v>56-65</v>
      </c>
      <c r="P273" s="35" t="n">
        <f aca="false">COUNTIF($C$2:$C$1001,C273)</f>
        <v>2</v>
      </c>
      <c r="Q273" s="35" t="n">
        <f aca="false">IF(COUNTIF($C$2:C273,C273)=1,1,0)</f>
        <v>1</v>
      </c>
    </row>
    <row r="274" customFormat="false" ht="15" hidden="false" customHeight="false" outlineLevel="0" collapsed="false">
      <c r="A274" s="35" t="s">
        <v>1001</v>
      </c>
      <c r="B274" s="64" t="n">
        <v>45911</v>
      </c>
      <c r="C274" s="35" t="s">
        <v>1002</v>
      </c>
      <c r="D274" s="35" t="s">
        <v>1003</v>
      </c>
      <c r="E274" s="35" t="n">
        <v>22</v>
      </c>
      <c r="F274" s="35" t="s">
        <v>235</v>
      </c>
      <c r="G274" s="35" t="s">
        <v>216</v>
      </c>
      <c r="H274" s="35" t="s">
        <v>210</v>
      </c>
      <c r="I274" s="35" t="s">
        <v>201</v>
      </c>
      <c r="J274" s="35" t="n">
        <v>5</v>
      </c>
      <c r="K274" s="65" t="n">
        <v>36171.66</v>
      </c>
      <c r="L274" s="65" t="n">
        <v>180858.3</v>
      </c>
      <c r="M274" s="66" t="n">
        <f aca="false">DATE(YEAR(B274),MONTH(B274),1)</f>
        <v>45901</v>
      </c>
      <c r="N274" s="35" t="str">
        <f aca="false">IF(G274="","Unknown",G274)</f>
        <v>Patna</v>
      </c>
      <c r="O274" s="35" t="str">
        <f aca="false">IF(E274="","Unknown",IF(E274&lt;=25,"18-25",IF(E274&lt;=35,"26-35",IF(E274&lt;=45,"36-45",IF(E274&lt;=55,"46-55","56-65")))))</f>
        <v>18-25</v>
      </c>
      <c r="P274" s="35" t="n">
        <f aca="false">COUNTIF($C$2:$C$1001,C274)</f>
        <v>1</v>
      </c>
      <c r="Q274" s="35" t="n">
        <f aca="false">IF(COUNTIF($C$2:C274,C274)=1,1,0)</f>
        <v>1</v>
      </c>
    </row>
    <row r="275" customFormat="false" ht="15" hidden="false" customHeight="false" outlineLevel="0" collapsed="false">
      <c r="A275" s="35" t="s">
        <v>1004</v>
      </c>
      <c r="B275" s="64" t="n">
        <v>45815</v>
      </c>
      <c r="C275" s="35" t="s">
        <v>505</v>
      </c>
      <c r="D275" s="35" t="s">
        <v>269</v>
      </c>
      <c r="E275" s="35" t="n">
        <v>34</v>
      </c>
      <c r="F275" s="35" t="s">
        <v>235</v>
      </c>
      <c r="G275" s="35" t="s">
        <v>216</v>
      </c>
      <c r="H275" s="35" t="s">
        <v>208</v>
      </c>
      <c r="I275" s="35" t="s">
        <v>200</v>
      </c>
      <c r="J275" s="35" t="n">
        <v>8</v>
      </c>
      <c r="K275" s="65" t="n">
        <v>47311.77</v>
      </c>
      <c r="L275" s="65" t="n">
        <v>378494.16</v>
      </c>
      <c r="M275" s="66" t="n">
        <f aca="false">DATE(YEAR(B275),MONTH(B275),1)</f>
        <v>45809</v>
      </c>
      <c r="N275" s="35" t="str">
        <f aca="false">IF(G275="","Unknown",G275)</f>
        <v>Patna</v>
      </c>
      <c r="O275" s="35" t="str">
        <f aca="false">IF(E275="","Unknown",IF(E275&lt;=25,"18-25",IF(E275&lt;=35,"26-35",IF(E275&lt;=45,"36-45",IF(E275&lt;=55,"46-55","56-65")))))</f>
        <v>26-35</v>
      </c>
      <c r="P275" s="35" t="n">
        <f aca="false">COUNTIF($C$2:$C$1001,C275)</f>
        <v>2</v>
      </c>
      <c r="Q275" s="35" t="n">
        <f aca="false">IF(COUNTIF($C$2:C275,C275)=1,1,0)</f>
        <v>0</v>
      </c>
    </row>
    <row r="276" customFormat="false" ht="15" hidden="false" customHeight="false" outlineLevel="0" collapsed="false">
      <c r="A276" s="35" t="s">
        <v>1005</v>
      </c>
      <c r="B276" s="64" t="n">
        <v>45906</v>
      </c>
      <c r="C276" s="35" t="s">
        <v>1006</v>
      </c>
      <c r="D276" s="35" t="s">
        <v>1007</v>
      </c>
      <c r="E276" s="35" t="n">
        <v>23</v>
      </c>
      <c r="F276" s="35" t="s">
        <v>235</v>
      </c>
      <c r="G276" s="35" t="s">
        <v>219</v>
      </c>
      <c r="H276" s="35" t="s">
        <v>210</v>
      </c>
      <c r="I276" s="35" t="s">
        <v>201</v>
      </c>
      <c r="J276" s="35" t="n">
        <v>9</v>
      </c>
      <c r="K276" s="65" t="n">
        <v>28865.26</v>
      </c>
      <c r="L276" s="65" t="n">
        <v>259787.34</v>
      </c>
      <c r="M276" s="66" t="n">
        <f aca="false">DATE(YEAR(B276),MONTH(B276),1)</f>
        <v>45901</v>
      </c>
      <c r="N276" s="35" t="str">
        <f aca="false">IF(G276="","Unknown",G276)</f>
        <v>Mumbai</v>
      </c>
      <c r="O276" s="35" t="str">
        <f aca="false">IF(E276="","Unknown",IF(E276&lt;=25,"18-25",IF(E276&lt;=35,"26-35",IF(E276&lt;=45,"36-45",IF(E276&lt;=55,"46-55","56-65")))))</f>
        <v>18-25</v>
      </c>
      <c r="P276" s="35" t="n">
        <f aca="false">COUNTIF($C$2:$C$1001,C276)</f>
        <v>1</v>
      </c>
      <c r="Q276" s="35" t="n">
        <f aca="false">IF(COUNTIF($C$2:C276,C276)=1,1,0)</f>
        <v>1</v>
      </c>
    </row>
    <row r="277" customFormat="false" ht="15" hidden="false" customHeight="false" outlineLevel="0" collapsed="false">
      <c r="A277" s="35" t="s">
        <v>1008</v>
      </c>
      <c r="B277" s="64" t="n">
        <v>45913</v>
      </c>
      <c r="C277" s="35" t="s">
        <v>1009</v>
      </c>
      <c r="D277" s="35" t="s">
        <v>1010</v>
      </c>
      <c r="E277" s="35" t="n">
        <v>63</v>
      </c>
      <c r="F277" s="35" t="s">
        <v>235</v>
      </c>
      <c r="G277" s="35" t="s">
        <v>218</v>
      </c>
      <c r="H277" s="35" t="s">
        <v>209</v>
      </c>
      <c r="I277" s="35" t="s">
        <v>200</v>
      </c>
      <c r="J277" s="35" t="n">
        <v>2</v>
      </c>
      <c r="K277" s="65" t="n">
        <v>48433.7</v>
      </c>
      <c r="L277" s="65" t="n">
        <v>96867.4</v>
      </c>
      <c r="M277" s="66" t="n">
        <f aca="false">DATE(YEAR(B277),MONTH(B277),1)</f>
        <v>45901</v>
      </c>
      <c r="N277" s="35" t="str">
        <f aca="false">IF(G277="","Unknown",G277)</f>
        <v>Bengaluru</v>
      </c>
      <c r="O277" s="35" t="str">
        <f aca="false">IF(E277="","Unknown",IF(E277&lt;=25,"18-25",IF(E277&lt;=35,"26-35",IF(E277&lt;=45,"36-45",IF(E277&lt;=55,"46-55","56-65")))))</f>
        <v>56-65</v>
      </c>
      <c r="P277" s="35" t="n">
        <f aca="false">COUNTIF($C$2:$C$1001,C277)</f>
        <v>1</v>
      </c>
      <c r="Q277" s="35" t="n">
        <f aca="false">IF(COUNTIF($C$2:C277,C277)=1,1,0)</f>
        <v>1</v>
      </c>
    </row>
    <row r="278" customFormat="false" ht="15" hidden="false" customHeight="false" outlineLevel="0" collapsed="false">
      <c r="A278" s="35" t="s">
        <v>1011</v>
      </c>
      <c r="B278" s="64" t="n">
        <v>45914</v>
      </c>
      <c r="C278" s="35" t="s">
        <v>1012</v>
      </c>
      <c r="D278" s="35" t="s">
        <v>830</v>
      </c>
      <c r="E278" s="35" t="n">
        <v>63</v>
      </c>
      <c r="F278" s="35" t="s">
        <v>235</v>
      </c>
      <c r="G278" s="35" t="s">
        <v>216</v>
      </c>
      <c r="H278" s="35" t="s">
        <v>212</v>
      </c>
      <c r="I278" s="35" t="s">
        <v>203</v>
      </c>
      <c r="J278" s="35" t="n">
        <v>7</v>
      </c>
      <c r="K278" s="65" t="n">
        <v>7528.42</v>
      </c>
      <c r="L278" s="65" t="n">
        <v>52698.94</v>
      </c>
      <c r="M278" s="66" t="n">
        <f aca="false">DATE(YEAR(B278),MONTH(B278),1)</f>
        <v>45901</v>
      </c>
      <c r="N278" s="35" t="str">
        <f aca="false">IF(G278="","Unknown",G278)</f>
        <v>Patna</v>
      </c>
      <c r="O278" s="35" t="str">
        <f aca="false">IF(E278="","Unknown",IF(E278&lt;=25,"18-25",IF(E278&lt;=35,"26-35",IF(E278&lt;=45,"36-45",IF(E278&lt;=55,"46-55","56-65")))))</f>
        <v>56-65</v>
      </c>
      <c r="P278" s="35" t="n">
        <f aca="false">COUNTIF($C$2:$C$1001,C278)</f>
        <v>1</v>
      </c>
      <c r="Q278" s="35" t="n">
        <f aca="false">IF(COUNTIF($C$2:C278,C278)=1,1,0)</f>
        <v>1</v>
      </c>
    </row>
    <row r="279" customFormat="false" ht="15" hidden="false" customHeight="false" outlineLevel="0" collapsed="false">
      <c r="A279" s="35" t="s">
        <v>1013</v>
      </c>
      <c r="B279" s="64" t="n">
        <v>45930</v>
      </c>
      <c r="C279" s="35" t="s">
        <v>1014</v>
      </c>
      <c r="D279" s="35" t="s">
        <v>1015</v>
      </c>
      <c r="E279" s="35" t="n">
        <v>54</v>
      </c>
      <c r="F279" s="35" t="s">
        <v>234</v>
      </c>
      <c r="G279" s="35" t="s">
        <v>223</v>
      </c>
      <c r="H279" s="35" t="s">
        <v>209</v>
      </c>
      <c r="I279" s="35" t="s">
        <v>200</v>
      </c>
      <c r="J279" s="35" t="n">
        <v>4</v>
      </c>
      <c r="K279" s="65" t="n">
        <v>46629.93</v>
      </c>
      <c r="L279" s="65" t="n">
        <v>186519.72</v>
      </c>
      <c r="M279" s="66" t="n">
        <f aca="false">DATE(YEAR(B279),MONTH(B279),1)</f>
        <v>45901</v>
      </c>
      <c r="N279" s="35" t="str">
        <f aca="false">IF(G279="","Unknown",G279)</f>
        <v>Gaya</v>
      </c>
      <c r="O279" s="35" t="str">
        <f aca="false">IF(E279="","Unknown",IF(E279&lt;=25,"18-25",IF(E279&lt;=35,"26-35",IF(E279&lt;=45,"36-45",IF(E279&lt;=55,"46-55","56-65")))))</f>
        <v>46-55</v>
      </c>
      <c r="P279" s="35" t="n">
        <f aca="false">COUNTIF($C$2:$C$1001,C279)</f>
        <v>1</v>
      </c>
      <c r="Q279" s="35" t="n">
        <f aca="false">IF(COUNTIF($C$2:C279,C279)=1,1,0)</f>
        <v>1</v>
      </c>
    </row>
    <row r="280" customFormat="false" ht="15" hidden="false" customHeight="false" outlineLevel="0" collapsed="false">
      <c r="A280" s="35" t="s">
        <v>1016</v>
      </c>
      <c r="B280" s="64" t="n">
        <v>45888</v>
      </c>
      <c r="C280" s="35" t="s">
        <v>1017</v>
      </c>
      <c r="D280" s="35" t="s">
        <v>1018</v>
      </c>
      <c r="E280" s="35" t="n">
        <v>21</v>
      </c>
      <c r="F280" s="35" t="s">
        <v>235</v>
      </c>
      <c r="G280" s="35" t="s">
        <v>218</v>
      </c>
      <c r="H280" s="35" t="s">
        <v>213</v>
      </c>
      <c r="I280" s="35" t="s">
        <v>204</v>
      </c>
      <c r="J280" s="35" t="n">
        <v>3</v>
      </c>
      <c r="K280" s="65" t="n">
        <v>32403.32</v>
      </c>
      <c r="L280" s="65" t="n">
        <v>97209.96</v>
      </c>
      <c r="M280" s="66" t="n">
        <f aca="false">DATE(YEAR(B280),MONTH(B280),1)</f>
        <v>45870</v>
      </c>
      <c r="N280" s="35" t="str">
        <f aca="false">IF(G280="","Unknown",G280)</f>
        <v>Bengaluru</v>
      </c>
      <c r="O280" s="35" t="str">
        <f aca="false">IF(E280="","Unknown",IF(E280&lt;=25,"18-25",IF(E280&lt;=35,"26-35",IF(E280&lt;=45,"36-45",IF(E280&lt;=55,"46-55","56-65")))))</f>
        <v>18-25</v>
      </c>
      <c r="P280" s="35" t="n">
        <f aca="false">COUNTIF($C$2:$C$1001,C280)</f>
        <v>2</v>
      </c>
      <c r="Q280" s="35" t="n">
        <f aca="false">IF(COUNTIF($C$2:C280,C280)=1,1,0)</f>
        <v>1</v>
      </c>
    </row>
    <row r="281" customFormat="false" ht="15" hidden="false" customHeight="false" outlineLevel="0" collapsed="false">
      <c r="A281" s="35" t="s">
        <v>1019</v>
      </c>
      <c r="B281" s="64" t="n">
        <v>46017</v>
      </c>
      <c r="C281" s="35" t="s">
        <v>1020</v>
      </c>
      <c r="D281" s="35" t="s">
        <v>1021</v>
      </c>
      <c r="E281" s="35" t="n">
        <v>18</v>
      </c>
      <c r="F281" s="35" t="s">
        <v>234</v>
      </c>
      <c r="G281" s="35" t="s">
        <v>221</v>
      </c>
      <c r="H281" s="35" t="s">
        <v>209</v>
      </c>
      <c r="I281" s="35" t="s">
        <v>200</v>
      </c>
      <c r="J281" s="35" t="n">
        <v>6</v>
      </c>
      <c r="K281" s="65" t="n">
        <v>14220.63</v>
      </c>
      <c r="L281" s="65" t="n">
        <v>85323.78</v>
      </c>
      <c r="M281" s="66" t="n">
        <f aca="false">DATE(YEAR(B281),MONTH(B281),1)</f>
        <v>45992</v>
      </c>
      <c r="N281" s="35" t="str">
        <f aca="false">IF(G281="","Unknown",G281)</f>
        <v>Delhi</v>
      </c>
      <c r="O281" s="35" t="str">
        <f aca="false">IF(E281="","Unknown",IF(E281&lt;=25,"18-25",IF(E281&lt;=35,"26-35",IF(E281&lt;=45,"36-45",IF(E281&lt;=55,"46-55","56-65")))))</f>
        <v>18-25</v>
      </c>
      <c r="P281" s="35" t="n">
        <f aca="false">COUNTIF($C$2:$C$1001,C281)</f>
        <v>1</v>
      </c>
      <c r="Q281" s="35" t="n">
        <f aca="false">IF(COUNTIF($C$2:C281,C281)=1,1,0)</f>
        <v>1</v>
      </c>
    </row>
    <row r="282" customFormat="false" ht="15" hidden="false" customHeight="false" outlineLevel="0" collapsed="false">
      <c r="A282" s="35" t="s">
        <v>1022</v>
      </c>
      <c r="B282" s="64" t="n">
        <v>46019</v>
      </c>
      <c r="C282" s="35" t="s">
        <v>1023</v>
      </c>
      <c r="D282" s="35" t="s">
        <v>1024</v>
      </c>
      <c r="E282" s="35" t="n">
        <v>26</v>
      </c>
      <c r="F282" s="35" t="s">
        <v>235</v>
      </c>
      <c r="G282" s="35" t="s">
        <v>221</v>
      </c>
      <c r="H282" s="35" t="s">
        <v>208</v>
      </c>
      <c r="I282" s="35" t="s">
        <v>200</v>
      </c>
      <c r="J282" s="35" t="n">
        <v>6</v>
      </c>
      <c r="K282" s="65" t="n">
        <v>5810.2</v>
      </c>
      <c r="L282" s="65" t="n">
        <v>34861.2</v>
      </c>
      <c r="M282" s="66" t="n">
        <f aca="false">DATE(YEAR(B282),MONTH(B282),1)</f>
        <v>45992</v>
      </c>
      <c r="N282" s="35" t="str">
        <f aca="false">IF(G282="","Unknown",G282)</f>
        <v>Delhi</v>
      </c>
      <c r="O282" s="35" t="str">
        <f aca="false">IF(E282="","Unknown",IF(E282&lt;=25,"18-25",IF(E282&lt;=35,"26-35",IF(E282&lt;=45,"36-45",IF(E282&lt;=55,"46-55","56-65")))))</f>
        <v>26-35</v>
      </c>
      <c r="P282" s="35" t="n">
        <f aca="false">COUNTIF($C$2:$C$1001,C282)</f>
        <v>2</v>
      </c>
      <c r="Q282" s="35" t="n">
        <f aca="false">IF(COUNTIF($C$2:C282,C282)=1,1,0)</f>
        <v>1</v>
      </c>
    </row>
    <row r="283" customFormat="false" ht="15" hidden="false" customHeight="false" outlineLevel="0" collapsed="false">
      <c r="A283" s="35" t="s">
        <v>1025</v>
      </c>
      <c r="B283" s="64" t="n">
        <v>45666</v>
      </c>
      <c r="C283" s="35" t="s">
        <v>1026</v>
      </c>
      <c r="D283" s="35" t="s">
        <v>1027</v>
      </c>
      <c r="E283" s="35" t="n">
        <v>39</v>
      </c>
      <c r="F283" s="35" t="s">
        <v>235</v>
      </c>
      <c r="G283" s="35" t="s">
        <v>217</v>
      </c>
      <c r="H283" s="35" t="s">
        <v>208</v>
      </c>
      <c r="I283" s="35" t="s">
        <v>200</v>
      </c>
      <c r="J283" s="35" t="n">
        <v>6</v>
      </c>
      <c r="K283" s="65" t="n">
        <v>22627.46</v>
      </c>
      <c r="L283" s="65" t="n">
        <v>135764.76</v>
      </c>
      <c r="M283" s="66" t="n">
        <f aca="false">DATE(YEAR(B283),MONTH(B283),1)</f>
        <v>45658</v>
      </c>
      <c r="N283" s="35" t="str">
        <f aca="false">IF(G283="","Unknown",G283)</f>
        <v>Kolkata</v>
      </c>
      <c r="O283" s="35" t="str">
        <f aca="false">IF(E283="","Unknown",IF(E283&lt;=25,"18-25",IF(E283&lt;=35,"26-35",IF(E283&lt;=45,"36-45",IF(E283&lt;=55,"46-55","56-65")))))</f>
        <v>36-45</v>
      </c>
      <c r="P283" s="35" t="n">
        <f aca="false">COUNTIF($C$2:$C$1001,C283)</f>
        <v>1</v>
      </c>
      <c r="Q283" s="35" t="n">
        <f aca="false">IF(COUNTIF($C$2:C283,C283)=1,1,0)</f>
        <v>1</v>
      </c>
    </row>
    <row r="284" customFormat="false" ht="15" hidden="false" customHeight="false" outlineLevel="0" collapsed="false">
      <c r="A284" s="35" t="s">
        <v>1028</v>
      </c>
      <c r="B284" s="64" t="n">
        <v>45786</v>
      </c>
      <c r="C284" s="35" t="s">
        <v>1029</v>
      </c>
      <c r="D284" s="35" t="s">
        <v>578</v>
      </c>
      <c r="E284" s="35" t="n">
        <v>65</v>
      </c>
      <c r="F284" s="35" t="s">
        <v>235</v>
      </c>
      <c r="G284" s="35" t="s">
        <v>219</v>
      </c>
      <c r="H284" s="35" t="s">
        <v>209</v>
      </c>
      <c r="I284" s="35" t="s">
        <v>200</v>
      </c>
      <c r="J284" s="35" t="n">
        <v>9</v>
      </c>
      <c r="K284" s="65" t="n">
        <v>20619.08</v>
      </c>
      <c r="L284" s="65" t="n">
        <v>185571.72</v>
      </c>
      <c r="M284" s="66" t="n">
        <f aca="false">DATE(YEAR(B284),MONTH(B284),1)</f>
        <v>45778</v>
      </c>
      <c r="N284" s="35" t="str">
        <f aca="false">IF(G284="","Unknown",G284)</f>
        <v>Mumbai</v>
      </c>
      <c r="O284" s="35" t="str">
        <f aca="false">IF(E284="","Unknown",IF(E284&lt;=25,"18-25",IF(E284&lt;=35,"26-35",IF(E284&lt;=45,"36-45",IF(E284&lt;=55,"46-55","56-65")))))</f>
        <v>56-65</v>
      </c>
      <c r="P284" s="35" t="n">
        <f aca="false">COUNTIF($C$2:$C$1001,C284)</f>
        <v>1</v>
      </c>
      <c r="Q284" s="35" t="n">
        <f aca="false">IF(COUNTIF($C$2:C284,C284)=1,1,0)</f>
        <v>1</v>
      </c>
    </row>
    <row r="285" customFormat="false" ht="15" hidden="false" customHeight="false" outlineLevel="0" collapsed="false">
      <c r="A285" s="35" t="s">
        <v>1030</v>
      </c>
      <c r="B285" s="64" t="n">
        <v>45947</v>
      </c>
      <c r="C285" s="35" t="s">
        <v>1031</v>
      </c>
      <c r="D285" s="35" t="s">
        <v>1032</v>
      </c>
      <c r="E285" s="35" t="n">
        <v>18</v>
      </c>
      <c r="F285" s="35" t="s">
        <v>234</v>
      </c>
      <c r="G285" s="35" t="s">
        <v>220</v>
      </c>
      <c r="H285" s="35" t="s">
        <v>213</v>
      </c>
      <c r="I285" s="35" t="s">
        <v>204</v>
      </c>
      <c r="J285" s="35" t="n">
        <v>2</v>
      </c>
      <c r="K285" s="65" t="n">
        <v>45034.12</v>
      </c>
      <c r="L285" s="65" t="n">
        <v>90068.24</v>
      </c>
      <c r="M285" s="66" t="n">
        <f aca="false">DATE(YEAR(B285),MONTH(B285),1)</f>
        <v>45931</v>
      </c>
      <c r="N285" s="35" t="str">
        <f aca="false">IF(G285="","Unknown",G285)</f>
        <v>Hyderabad</v>
      </c>
      <c r="O285" s="35" t="str">
        <f aca="false">IF(E285="","Unknown",IF(E285&lt;=25,"18-25",IF(E285&lt;=35,"26-35",IF(E285&lt;=45,"36-45",IF(E285&lt;=55,"46-55","56-65")))))</f>
        <v>18-25</v>
      </c>
      <c r="P285" s="35" t="n">
        <f aca="false">COUNTIF($C$2:$C$1001,C285)</f>
        <v>1</v>
      </c>
      <c r="Q285" s="35" t="n">
        <f aca="false">IF(COUNTIF($C$2:C285,C285)=1,1,0)</f>
        <v>1</v>
      </c>
    </row>
    <row r="286" customFormat="false" ht="15" hidden="false" customHeight="false" outlineLevel="0" collapsed="false">
      <c r="A286" s="35" t="s">
        <v>1033</v>
      </c>
      <c r="B286" s="64" t="n">
        <v>45953</v>
      </c>
      <c r="C286" s="35" t="s">
        <v>1034</v>
      </c>
      <c r="D286" s="35" t="s">
        <v>994</v>
      </c>
      <c r="E286" s="35" t="n">
        <v>64</v>
      </c>
      <c r="F286" s="35" t="s">
        <v>235</v>
      </c>
      <c r="G286" s="35" t="s">
        <v>220</v>
      </c>
      <c r="H286" s="35" t="s">
        <v>211</v>
      </c>
      <c r="I286" s="35" t="s">
        <v>202</v>
      </c>
      <c r="J286" s="35" t="n">
        <v>2</v>
      </c>
      <c r="K286" s="65" t="n">
        <v>40768.5</v>
      </c>
      <c r="L286" s="65" t="n">
        <v>81537</v>
      </c>
      <c r="M286" s="66" t="n">
        <f aca="false">DATE(YEAR(B286),MONTH(B286),1)</f>
        <v>45931</v>
      </c>
      <c r="N286" s="35" t="str">
        <f aca="false">IF(G286="","Unknown",G286)</f>
        <v>Hyderabad</v>
      </c>
      <c r="O286" s="35" t="str">
        <f aca="false">IF(E286="","Unknown",IF(E286&lt;=25,"18-25",IF(E286&lt;=35,"26-35",IF(E286&lt;=45,"36-45",IF(E286&lt;=55,"46-55","56-65")))))</f>
        <v>56-65</v>
      </c>
      <c r="P286" s="35" t="n">
        <f aca="false">COUNTIF($C$2:$C$1001,C286)</f>
        <v>1</v>
      </c>
      <c r="Q286" s="35" t="n">
        <f aca="false">IF(COUNTIF($C$2:C286,C286)=1,1,0)</f>
        <v>1</v>
      </c>
    </row>
    <row r="287" customFormat="false" ht="15" hidden="false" customHeight="false" outlineLevel="0" collapsed="false">
      <c r="A287" s="35" t="s">
        <v>1035</v>
      </c>
      <c r="B287" s="64" t="n">
        <v>45668</v>
      </c>
      <c r="C287" s="35" t="s">
        <v>1036</v>
      </c>
      <c r="D287" s="35" t="s">
        <v>1037</v>
      </c>
      <c r="E287" s="35" t="n">
        <v>52</v>
      </c>
      <c r="F287" s="35" t="s">
        <v>234</v>
      </c>
      <c r="G287" s="35" t="s">
        <v>221</v>
      </c>
      <c r="H287" s="35" t="s">
        <v>209</v>
      </c>
      <c r="I287" s="35" t="s">
        <v>200</v>
      </c>
      <c r="J287" s="35" t="n">
        <v>3</v>
      </c>
      <c r="K287" s="65" t="n">
        <v>35888.63</v>
      </c>
      <c r="L287" s="65" t="n">
        <v>107665.89</v>
      </c>
      <c r="M287" s="66" t="n">
        <f aca="false">DATE(YEAR(B287),MONTH(B287),1)</f>
        <v>45658</v>
      </c>
      <c r="N287" s="35" t="str">
        <f aca="false">IF(G287="","Unknown",G287)</f>
        <v>Delhi</v>
      </c>
      <c r="O287" s="35" t="str">
        <f aca="false">IF(E287="","Unknown",IF(E287&lt;=25,"18-25",IF(E287&lt;=35,"26-35",IF(E287&lt;=45,"36-45",IF(E287&lt;=55,"46-55","56-65")))))</f>
        <v>46-55</v>
      </c>
      <c r="P287" s="35" t="n">
        <f aca="false">COUNTIF($C$2:$C$1001,C287)</f>
        <v>1</v>
      </c>
      <c r="Q287" s="35" t="n">
        <f aca="false">IF(COUNTIF($C$2:C287,C287)=1,1,0)</f>
        <v>1</v>
      </c>
    </row>
    <row r="288" customFormat="false" ht="15" hidden="false" customHeight="false" outlineLevel="0" collapsed="false">
      <c r="A288" s="35" t="s">
        <v>1038</v>
      </c>
      <c r="B288" s="64" t="n">
        <v>45965</v>
      </c>
      <c r="C288" s="35" t="s">
        <v>1039</v>
      </c>
      <c r="D288" s="35" t="s">
        <v>1040</v>
      </c>
      <c r="E288" s="35" t="n">
        <v>46</v>
      </c>
      <c r="F288" s="35" t="s">
        <v>234</v>
      </c>
      <c r="G288" s="35" t="s">
        <v>221</v>
      </c>
      <c r="H288" s="35" t="s">
        <v>208</v>
      </c>
      <c r="I288" s="35" t="s">
        <v>200</v>
      </c>
      <c r="J288" s="35" t="n">
        <v>9</v>
      </c>
      <c r="K288" s="65" t="n">
        <v>23875.09</v>
      </c>
      <c r="L288" s="65" t="n">
        <v>214875.81</v>
      </c>
      <c r="M288" s="66" t="n">
        <f aca="false">DATE(YEAR(B288),MONTH(B288),1)</f>
        <v>45962</v>
      </c>
      <c r="N288" s="35" t="str">
        <f aca="false">IF(G288="","Unknown",G288)</f>
        <v>Delhi</v>
      </c>
      <c r="O288" s="35" t="str">
        <f aca="false">IF(E288="","Unknown",IF(E288&lt;=25,"18-25",IF(E288&lt;=35,"26-35",IF(E288&lt;=45,"36-45",IF(E288&lt;=55,"46-55","56-65")))))</f>
        <v>46-55</v>
      </c>
      <c r="P288" s="35" t="n">
        <f aca="false">COUNTIF($C$2:$C$1001,C288)</f>
        <v>1</v>
      </c>
      <c r="Q288" s="35" t="n">
        <f aca="false">IF(COUNTIF($C$2:C288,C288)=1,1,0)</f>
        <v>1</v>
      </c>
    </row>
    <row r="289" customFormat="false" ht="15" hidden="false" customHeight="false" outlineLevel="0" collapsed="false">
      <c r="A289" s="35" t="s">
        <v>1041</v>
      </c>
      <c r="B289" s="64" t="n">
        <v>45968</v>
      </c>
      <c r="C289" s="35" t="s">
        <v>1042</v>
      </c>
      <c r="D289" s="35" t="s">
        <v>1043</v>
      </c>
      <c r="E289" s="35" t="n">
        <v>31</v>
      </c>
      <c r="F289" s="35" t="s">
        <v>234</v>
      </c>
      <c r="G289" s="35" t="s">
        <v>217</v>
      </c>
      <c r="H289" s="35" t="s">
        <v>213</v>
      </c>
      <c r="I289" s="35" t="s">
        <v>204</v>
      </c>
      <c r="J289" s="35" t="n">
        <v>2</v>
      </c>
      <c r="K289" s="65" t="n">
        <v>17100.29</v>
      </c>
      <c r="L289" s="65" t="n">
        <v>34200.58</v>
      </c>
      <c r="M289" s="66" t="n">
        <f aca="false">DATE(YEAR(B289),MONTH(B289),1)</f>
        <v>45962</v>
      </c>
      <c r="N289" s="35" t="str">
        <f aca="false">IF(G289="","Unknown",G289)</f>
        <v>Kolkata</v>
      </c>
      <c r="O289" s="35" t="str">
        <f aca="false">IF(E289="","Unknown",IF(E289&lt;=25,"18-25",IF(E289&lt;=35,"26-35",IF(E289&lt;=45,"36-45",IF(E289&lt;=55,"46-55","56-65")))))</f>
        <v>26-35</v>
      </c>
      <c r="P289" s="35" t="n">
        <f aca="false">COUNTIF($C$2:$C$1001,C289)</f>
        <v>1</v>
      </c>
      <c r="Q289" s="35" t="n">
        <f aca="false">IF(COUNTIF($C$2:C289,C289)=1,1,0)</f>
        <v>1</v>
      </c>
    </row>
    <row r="290" customFormat="false" ht="15" hidden="false" customHeight="false" outlineLevel="0" collapsed="false">
      <c r="A290" s="35" t="s">
        <v>1044</v>
      </c>
      <c r="B290" s="64" t="n">
        <v>45753</v>
      </c>
      <c r="C290" s="35" t="s">
        <v>1045</v>
      </c>
      <c r="D290" s="35" t="s">
        <v>1046</v>
      </c>
      <c r="E290" s="35" t="n">
        <v>51</v>
      </c>
      <c r="F290" s="35" t="s">
        <v>234</v>
      </c>
      <c r="G290" s="35" t="s">
        <v>219</v>
      </c>
      <c r="H290" s="35" t="s">
        <v>212</v>
      </c>
      <c r="I290" s="35" t="s">
        <v>203</v>
      </c>
      <c r="J290" s="35" t="n">
        <v>7</v>
      </c>
      <c r="K290" s="65" t="n">
        <v>15202.84</v>
      </c>
      <c r="L290" s="65" t="n">
        <v>106419.88</v>
      </c>
      <c r="M290" s="66" t="n">
        <f aca="false">DATE(YEAR(B290),MONTH(B290),1)</f>
        <v>45748</v>
      </c>
      <c r="N290" s="35" t="str">
        <f aca="false">IF(G290="","Unknown",G290)</f>
        <v>Mumbai</v>
      </c>
      <c r="O290" s="35" t="str">
        <f aca="false">IF(E290="","Unknown",IF(E290&lt;=25,"18-25",IF(E290&lt;=35,"26-35",IF(E290&lt;=45,"36-45",IF(E290&lt;=55,"46-55","56-65")))))</f>
        <v>46-55</v>
      </c>
      <c r="P290" s="35" t="n">
        <f aca="false">COUNTIF($C$2:$C$1001,C290)</f>
        <v>1</v>
      </c>
      <c r="Q290" s="35" t="n">
        <f aca="false">IF(COUNTIF($C$2:C290,C290)=1,1,0)</f>
        <v>1</v>
      </c>
    </row>
    <row r="291" customFormat="false" ht="15" hidden="false" customHeight="false" outlineLevel="0" collapsed="false">
      <c r="A291" s="35" t="s">
        <v>1047</v>
      </c>
      <c r="B291" s="64" t="n">
        <v>45900</v>
      </c>
      <c r="C291" s="35" t="s">
        <v>1048</v>
      </c>
      <c r="D291" s="35" t="s">
        <v>1049</v>
      </c>
      <c r="E291" s="35" t="n">
        <v>22</v>
      </c>
      <c r="F291" s="35" t="s">
        <v>235</v>
      </c>
      <c r="G291" s="35" t="s">
        <v>216</v>
      </c>
      <c r="H291" s="35" t="s">
        <v>209</v>
      </c>
      <c r="I291" s="35" t="s">
        <v>200</v>
      </c>
      <c r="J291" s="35" t="n">
        <v>6</v>
      </c>
      <c r="K291" s="65" t="n">
        <v>17696.96</v>
      </c>
      <c r="L291" s="65" t="n">
        <v>106181.76</v>
      </c>
      <c r="M291" s="66" t="n">
        <f aca="false">DATE(YEAR(B291),MONTH(B291),1)</f>
        <v>45870</v>
      </c>
      <c r="N291" s="35" t="str">
        <f aca="false">IF(G291="","Unknown",G291)</f>
        <v>Patna</v>
      </c>
      <c r="O291" s="35" t="str">
        <f aca="false">IF(E291="","Unknown",IF(E291&lt;=25,"18-25",IF(E291&lt;=35,"26-35",IF(E291&lt;=45,"36-45",IF(E291&lt;=55,"46-55","56-65")))))</f>
        <v>18-25</v>
      </c>
      <c r="P291" s="35" t="n">
        <f aca="false">COUNTIF($C$2:$C$1001,C291)</f>
        <v>1</v>
      </c>
      <c r="Q291" s="35" t="n">
        <f aca="false">IF(COUNTIF($C$2:C291,C291)=1,1,0)</f>
        <v>1</v>
      </c>
    </row>
    <row r="292" customFormat="false" ht="15" hidden="false" customHeight="false" outlineLevel="0" collapsed="false">
      <c r="A292" s="35" t="s">
        <v>1050</v>
      </c>
      <c r="B292" s="64" t="n">
        <v>45708</v>
      </c>
      <c r="C292" s="35" t="s">
        <v>1051</v>
      </c>
      <c r="D292" s="35" t="s">
        <v>488</v>
      </c>
      <c r="E292" s="35" t="n">
        <v>23</v>
      </c>
      <c r="F292" s="35" t="s">
        <v>234</v>
      </c>
      <c r="G292" s="35" t="s">
        <v>223</v>
      </c>
      <c r="H292" s="35" t="s">
        <v>211</v>
      </c>
      <c r="I292" s="35" t="s">
        <v>202</v>
      </c>
      <c r="J292" s="35" t="n">
        <v>6</v>
      </c>
      <c r="K292" s="65" t="n">
        <v>13138.1</v>
      </c>
      <c r="L292" s="65" t="n">
        <v>78828.6</v>
      </c>
      <c r="M292" s="66" t="n">
        <f aca="false">DATE(YEAR(B292),MONTH(B292),1)</f>
        <v>45689</v>
      </c>
      <c r="N292" s="35" t="str">
        <f aca="false">IF(G292="","Unknown",G292)</f>
        <v>Gaya</v>
      </c>
      <c r="O292" s="35" t="str">
        <f aca="false">IF(E292="","Unknown",IF(E292&lt;=25,"18-25",IF(E292&lt;=35,"26-35",IF(E292&lt;=45,"36-45",IF(E292&lt;=55,"46-55","56-65")))))</f>
        <v>18-25</v>
      </c>
      <c r="P292" s="35" t="n">
        <f aca="false">COUNTIF($C$2:$C$1001,C292)</f>
        <v>1</v>
      </c>
      <c r="Q292" s="35" t="n">
        <f aca="false">IF(COUNTIF($C$2:C292,C292)=1,1,0)</f>
        <v>1</v>
      </c>
    </row>
    <row r="293" customFormat="false" ht="15" hidden="false" customHeight="false" outlineLevel="0" collapsed="false">
      <c r="A293" s="35" t="s">
        <v>1052</v>
      </c>
      <c r="B293" s="64" t="n">
        <v>45763</v>
      </c>
      <c r="C293" s="35" t="s">
        <v>1053</v>
      </c>
      <c r="D293" s="35" t="s">
        <v>1054</v>
      </c>
      <c r="E293" s="35" t="n">
        <v>44</v>
      </c>
      <c r="F293" s="35" t="s">
        <v>235</v>
      </c>
      <c r="G293" s="35" t="s">
        <v>217</v>
      </c>
      <c r="H293" s="35" t="s">
        <v>210</v>
      </c>
      <c r="I293" s="35" t="s">
        <v>201</v>
      </c>
      <c r="J293" s="35" t="n">
        <v>5</v>
      </c>
      <c r="K293" s="65" t="n">
        <v>3842.06</v>
      </c>
      <c r="L293" s="65" t="n">
        <v>19210.3</v>
      </c>
      <c r="M293" s="66" t="n">
        <f aca="false">DATE(YEAR(B293),MONTH(B293),1)</f>
        <v>45748</v>
      </c>
      <c r="N293" s="35" t="str">
        <f aca="false">IF(G293="","Unknown",G293)</f>
        <v>Kolkata</v>
      </c>
      <c r="O293" s="35" t="str">
        <f aca="false">IF(E293="","Unknown",IF(E293&lt;=25,"18-25",IF(E293&lt;=35,"26-35",IF(E293&lt;=45,"36-45",IF(E293&lt;=55,"46-55","56-65")))))</f>
        <v>36-45</v>
      </c>
      <c r="P293" s="35" t="n">
        <f aca="false">COUNTIF($C$2:$C$1001,C293)</f>
        <v>1</v>
      </c>
      <c r="Q293" s="35" t="n">
        <f aca="false">IF(COUNTIF($C$2:C293,C293)=1,1,0)</f>
        <v>1</v>
      </c>
    </row>
    <row r="294" customFormat="false" ht="15" hidden="false" customHeight="false" outlineLevel="0" collapsed="false">
      <c r="A294" s="35" t="s">
        <v>1055</v>
      </c>
      <c r="B294" s="64" t="n">
        <v>45718</v>
      </c>
      <c r="C294" s="35" t="s">
        <v>1056</v>
      </c>
      <c r="D294" s="35" t="s">
        <v>1057</v>
      </c>
      <c r="E294" s="35" t="n">
        <v>41</v>
      </c>
      <c r="F294" s="35" t="s">
        <v>235</v>
      </c>
      <c r="G294" s="35" t="s">
        <v>220</v>
      </c>
      <c r="H294" s="35" t="s">
        <v>211</v>
      </c>
      <c r="I294" s="35" t="s">
        <v>202</v>
      </c>
      <c r="J294" s="35" t="n">
        <v>4</v>
      </c>
      <c r="K294" s="65" t="n">
        <v>6495.5</v>
      </c>
      <c r="L294" s="65" t="n">
        <v>25982</v>
      </c>
      <c r="M294" s="66" t="n">
        <f aca="false">DATE(YEAR(B294),MONTH(B294),1)</f>
        <v>45717</v>
      </c>
      <c r="N294" s="35" t="str">
        <f aca="false">IF(G294="","Unknown",G294)</f>
        <v>Hyderabad</v>
      </c>
      <c r="O294" s="35" t="str">
        <f aca="false">IF(E294="","Unknown",IF(E294&lt;=25,"18-25",IF(E294&lt;=35,"26-35",IF(E294&lt;=45,"36-45",IF(E294&lt;=55,"46-55","56-65")))))</f>
        <v>36-45</v>
      </c>
      <c r="P294" s="35" t="n">
        <f aca="false">COUNTIF($C$2:$C$1001,C294)</f>
        <v>1</v>
      </c>
      <c r="Q294" s="35" t="n">
        <f aca="false">IF(COUNTIF($C$2:C294,C294)=1,1,0)</f>
        <v>1</v>
      </c>
    </row>
    <row r="295" customFormat="false" ht="15" hidden="false" customHeight="false" outlineLevel="0" collapsed="false">
      <c r="A295" s="35" t="s">
        <v>1058</v>
      </c>
      <c r="B295" s="64" t="n">
        <v>45781</v>
      </c>
      <c r="C295" s="35" t="s">
        <v>1059</v>
      </c>
      <c r="D295" s="35" t="s">
        <v>1060</v>
      </c>
      <c r="E295" s="35" t="n">
        <v>18</v>
      </c>
      <c r="F295" s="35" t="s">
        <v>235</v>
      </c>
      <c r="G295" s="35" t="s">
        <v>218</v>
      </c>
      <c r="H295" s="35" t="s">
        <v>210</v>
      </c>
      <c r="I295" s="35" t="s">
        <v>201</v>
      </c>
      <c r="J295" s="35" t="n">
        <v>4</v>
      </c>
      <c r="K295" s="65" t="n">
        <v>43207.48</v>
      </c>
      <c r="L295" s="65" t="n">
        <v>172829.92</v>
      </c>
      <c r="M295" s="66" t="n">
        <f aca="false">DATE(YEAR(B295),MONTH(B295),1)</f>
        <v>45778</v>
      </c>
      <c r="N295" s="35" t="str">
        <f aca="false">IF(G295="","Unknown",G295)</f>
        <v>Bengaluru</v>
      </c>
      <c r="O295" s="35" t="str">
        <f aca="false">IF(E295="","Unknown",IF(E295&lt;=25,"18-25",IF(E295&lt;=35,"26-35",IF(E295&lt;=45,"36-45",IF(E295&lt;=55,"46-55","56-65")))))</f>
        <v>18-25</v>
      </c>
      <c r="P295" s="35" t="n">
        <f aca="false">COUNTIF($C$2:$C$1001,C295)</f>
        <v>1</v>
      </c>
      <c r="Q295" s="35" t="n">
        <f aca="false">IF(COUNTIF($C$2:C295,C295)=1,1,0)</f>
        <v>1</v>
      </c>
    </row>
    <row r="296" customFormat="false" ht="15" hidden="false" customHeight="false" outlineLevel="0" collapsed="false">
      <c r="A296" s="35" t="s">
        <v>1061</v>
      </c>
      <c r="B296" s="64" t="n">
        <v>45842</v>
      </c>
      <c r="C296" s="35" t="s">
        <v>1062</v>
      </c>
      <c r="D296" s="35" t="s">
        <v>305</v>
      </c>
      <c r="E296" s="35" t="n">
        <v>30</v>
      </c>
      <c r="F296" s="35" t="s">
        <v>235</v>
      </c>
      <c r="G296" s="35" t="s">
        <v>220</v>
      </c>
      <c r="H296" s="35" t="s">
        <v>210</v>
      </c>
      <c r="I296" s="35" t="s">
        <v>201</v>
      </c>
      <c r="J296" s="35" t="n">
        <v>4</v>
      </c>
      <c r="K296" s="65" t="n">
        <v>49876.67</v>
      </c>
      <c r="L296" s="65" t="n">
        <v>199506.68</v>
      </c>
      <c r="M296" s="66" t="n">
        <f aca="false">DATE(YEAR(B296),MONTH(B296),1)</f>
        <v>45839</v>
      </c>
      <c r="N296" s="35" t="str">
        <f aca="false">IF(G296="","Unknown",G296)</f>
        <v>Hyderabad</v>
      </c>
      <c r="O296" s="35" t="str">
        <f aca="false">IF(E296="","Unknown",IF(E296&lt;=25,"18-25",IF(E296&lt;=35,"26-35",IF(E296&lt;=45,"36-45",IF(E296&lt;=55,"46-55","56-65")))))</f>
        <v>26-35</v>
      </c>
      <c r="P296" s="35" t="n">
        <f aca="false">COUNTIF($C$2:$C$1001,C296)</f>
        <v>1</v>
      </c>
      <c r="Q296" s="35" t="n">
        <f aca="false">IF(COUNTIF($C$2:C296,C296)=1,1,0)</f>
        <v>1</v>
      </c>
    </row>
    <row r="297" customFormat="false" ht="15" hidden="false" customHeight="false" outlineLevel="0" collapsed="false">
      <c r="A297" s="35" t="s">
        <v>1063</v>
      </c>
      <c r="B297" s="64" t="n">
        <v>45979</v>
      </c>
      <c r="C297" s="35" t="s">
        <v>1064</v>
      </c>
      <c r="D297" s="35" t="s">
        <v>1065</v>
      </c>
      <c r="E297" s="35" t="n">
        <v>18</v>
      </c>
      <c r="F297" s="35" t="s">
        <v>234</v>
      </c>
      <c r="G297" s="35" t="s">
        <v>219</v>
      </c>
      <c r="H297" s="35" t="s">
        <v>212</v>
      </c>
      <c r="I297" s="35" t="s">
        <v>203</v>
      </c>
      <c r="J297" s="35" t="n">
        <v>1</v>
      </c>
      <c r="K297" s="65" t="n">
        <v>2599.12</v>
      </c>
      <c r="L297" s="65" t="n">
        <v>2599.12</v>
      </c>
      <c r="M297" s="66" t="n">
        <f aca="false">DATE(YEAR(B297),MONTH(B297),1)</f>
        <v>45962</v>
      </c>
      <c r="N297" s="35" t="str">
        <f aca="false">IF(G297="","Unknown",G297)</f>
        <v>Mumbai</v>
      </c>
      <c r="O297" s="35" t="str">
        <f aca="false">IF(E297="","Unknown",IF(E297&lt;=25,"18-25",IF(E297&lt;=35,"26-35",IF(E297&lt;=45,"36-45",IF(E297&lt;=55,"46-55","56-65")))))</f>
        <v>18-25</v>
      </c>
      <c r="P297" s="35" t="n">
        <f aca="false">COUNTIF($C$2:$C$1001,C297)</f>
        <v>1</v>
      </c>
      <c r="Q297" s="35" t="n">
        <f aca="false">IF(COUNTIF($C$2:C297,C297)=1,1,0)</f>
        <v>1</v>
      </c>
    </row>
    <row r="298" customFormat="false" ht="15" hidden="false" customHeight="false" outlineLevel="0" collapsed="false">
      <c r="A298" s="35" t="s">
        <v>1066</v>
      </c>
      <c r="B298" s="64" t="n">
        <v>45866</v>
      </c>
      <c r="C298" s="35" t="s">
        <v>1067</v>
      </c>
      <c r="D298" s="35" t="s">
        <v>991</v>
      </c>
      <c r="E298" s="35" t="n">
        <v>37</v>
      </c>
      <c r="F298" s="35" t="s">
        <v>235</v>
      </c>
      <c r="G298" s="35" t="s">
        <v>222</v>
      </c>
      <c r="H298" s="35" t="s">
        <v>209</v>
      </c>
      <c r="I298" s="35" t="s">
        <v>200</v>
      </c>
      <c r="J298" s="35" t="n">
        <v>4</v>
      </c>
      <c r="K298" s="65" t="n">
        <v>6652.95</v>
      </c>
      <c r="L298" s="65" t="n">
        <v>26611.8</v>
      </c>
      <c r="M298" s="66" t="n">
        <f aca="false">DATE(YEAR(B298),MONTH(B298),1)</f>
        <v>45839</v>
      </c>
      <c r="N298" s="35" t="str">
        <f aca="false">IF(G298="","Unknown",G298)</f>
        <v>Pune</v>
      </c>
      <c r="O298" s="35" t="str">
        <f aca="false">IF(E298="","Unknown",IF(E298&lt;=25,"18-25",IF(E298&lt;=35,"26-35",IF(E298&lt;=45,"36-45",IF(E298&lt;=55,"46-55","56-65")))))</f>
        <v>36-45</v>
      </c>
      <c r="P298" s="35" t="n">
        <f aca="false">COUNTIF($C$2:$C$1001,C298)</f>
        <v>1</v>
      </c>
      <c r="Q298" s="35" t="n">
        <f aca="false">IF(COUNTIF($C$2:C298,C298)=1,1,0)</f>
        <v>1</v>
      </c>
    </row>
    <row r="299" customFormat="false" ht="15" hidden="false" customHeight="false" outlineLevel="0" collapsed="false">
      <c r="A299" s="35" t="s">
        <v>1068</v>
      </c>
      <c r="B299" s="64" t="n">
        <v>45741</v>
      </c>
      <c r="C299" s="35" t="s">
        <v>1069</v>
      </c>
      <c r="D299" s="35" t="s">
        <v>1070</v>
      </c>
      <c r="E299" s="35" t="n">
        <v>39</v>
      </c>
      <c r="F299" s="35" t="s">
        <v>234</v>
      </c>
      <c r="G299" s="35" t="s">
        <v>221</v>
      </c>
      <c r="H299" s="35" t="s">
        <v>208</v>
      </c>
      <c r="I299" s="35" t="s">
        <v>200</v>
      </c>
      <c r="J299" s="35" t="n">
        <v>4</v>
      </c>
      <c r="K299" s="65" t="n">
        <v>20533.23</v>
      </c>
      <c r="L299" s="65" t="n">
        <v>82132.92</v>
      </c>
      <c r="M299" s="66" t="n">
        <f aca="false">DATE(YEAR(B299),MONTH(B299),1)</f>
        <v>45717</v>
      </c>
      <c r="N299" s="35" t="str">
        <f aca="false">IF(G299="","Unknown",G299)</f>
        <v>Delhi</v>
      </c>
      <c r="O299" s="35" t="str">
        <f aca="false">IF(E299="","Unknown",IF(E299&lt;=25,"18-25",IF(E299&lt;=35,"26-35",IF(E299&lt;=45,"36-45",IF(E299&lt;=55,"46-55","56-65")))))</f>
        <v>36-45</v>
      </c>
      <c r="P299" s="35" t="n">
        <f aca="false">COUNTIF($C$2:$C$1001,C299)</f>
        <v>1</v>
      </c>
      <c r="Q299" s="35" t="n">
        <f aca="false">IF(COUNTIF($C$2:C299,C299)=1,1,0)</f>
        <v>1</v>
      </c>
    </row>
    <row r="300" customFormat="false" ht="15" hidden="false" customHeight="false" outlineLevel="0" collapsed="false">
      <c r="A300" s="35" t="s">
        <v>1071</v>
      </c>
      <c r="B300" s="64" t="n">
        <v>45839</v>
      </c>
      <c r="C300" s="35" t="s">
        <v>1072</v>
      </c>
      <c r="D300" s="35" t="s">
        <v>1073</v>
      </c>
      <c r="E300" s="35"/>
      <c r="F300" s="35" t="s">
        <v>234</v>
      </c>
      <c r="G300" s="35"/>
      <c r="H300" s="35" t="s">
        <v>212</v>
      </c>
      <c r="I300" s="35" t="s">
        <v>203</v>
      </c>
      <c r="J300" s="35" t="n">
        <v>6</v>
      </c>
      <c r="K300" s="65" t="n">
        <v>28595.31</v>
      </c>
      <c r="L300" s="65" t="n">
        <v>171571.86</v>
      </c>
      <c r="M300" s="66" t="n">
        <f aca="false">DATE(YEAR(B300),MONTH(B300),1)</f>
        <v>45839</v>
      </c>
      <c r="N300" s="35" t="str">
        <f aca="false">IF(G300="","Unknown",G300)</f>
        <v>Unknown</v>
      </c>
      <c r="O300" s="35" t="str">
        <f aca="false">IF(E300="","Unknown",IF(E300&lt;=25,"18-25",IF(E300&lt;=35,"26-35",IF(E300&lt;=45,"36-45",IF(E300&lt;=55,"46-55","56-65")))))</f>
        <v>Unknown</v>
      </c>
      <c r="P300" s="35" t="n">
        <f aca="false">COUNTIF($C$2:$C$1001,C300)</f>
        <v>1</v>
      </c>
      <c r="Q300" s="35" t="n">
        <f aca="false">IF(COUNTIF($C$2:C300,C300)=1,1,0)</f>
        <v>1</v>
      </c>
    </row>
    <row r="301" customFormat="false" ht="15" hidden="false" customHeight="false" outlineLevel="0" collapsed="false">
      <c r="A301" s="35" t="s">
        <v>1074</v>
      </c>
      <c r="B301" s="64" t="n">
        <v>45912</v>
      </c>
      <c r="C301" s="35" t="s">
        <v>1075</v>
      </c>
      <c r="D301" s="35" t="s">
        <v>1076</v>
      </c>
      <c r="E301" s="35" t="n">
        <v>30</v>
      </c>
      <c r="F301" s="35" t="s">
        <v>234</v>
      </c>
      <c r="G301" s="35" t="s">
        <v>217</v>
      </c>
      <c r="H301" s="35" t="s">
        <v>209</v>
      </c>
      <c r="I301" s="35" t="s">
        <v>200</v>
      </c>
      <c r="J301" s="35" t="n">
        <v>5</v>
      </c>
      <c r="K301" s="65" t="n">
        <v>9509.13</v>
      </c>
      <c r="L301" s="65" t="n">
        <v>47545.65</v>
      </c>
      <c r="M301" s="66" t="n">
        <f aca="false">DATE(YEAR(B301),MONTH(B301),1)</f>
        <v>45901</v>
      </c>
      <c r="N301" s="35" t="str">
        <f aca="false">IF(G301="","Unknown",G301)</f>
        <v>Kolkata</v>
      </c>
      <c r="O301" s="35" t="str">
        <f aca="false">IF(E301="","Unknown",IF(E301&lt;=25,"18-25",IF(E301&lt;=35,"26-35",IF(E301&lt;=45,"36-45",IF(E301&lt;=55,"46-55","56-65")))))</f>
        <v>26-35</v>
      </c>
      <c r="P301" s="35" t="n">
        <f aca="false">COUNTIF($C$2:$C$1001,C301)</f>
        <v>1</v>
      </c>
      <c r="Q301" s="35" t="n">
        <f aca="false">IF(COUNTIF($C$2:C301,C301)=1,1,0)</f>
        <v>1</v>
      </c>
    </row>
    <row r="302" customFormat="false" ht="15" hidden="false" customHeight="false" outlineLevel="0" collapsed="false">
      <c r="A302" s="35" t="s">
        <v>1077</v>
      </c>
      <c r="B302" s="64" t="n">
        <v>45878</v>
      </c>
      <c r="C302" s="35" t="s">
        <v>1078</v>
      </c>
      <c r="D302" s="35" t="s">
        <v>1079</v>
      </c>
      <c r="E302" s="35" t="n">
        <v>30</v>
      </c>
      <c r="F302" s="35" t="s">
        <v>234</v>
      </c>
      <c r="G302" s="35" t="s">
        <v>216</v>
      </c>
      <c r="H302" s="35" t="s">
        <v>212</v>
      </c>
      <c r="I302" s="35" t="s">
        <v>203</v>
      </c>
      <c r="J302" s="35" t="n">
        <v>7</v>
      </c>
      <c r="K302" s="65" t="n">
        <v>1106.55</v>
      </c>
      <c r="L302" s="65" t="n">
        <v>7745.85</v>
      </c>
      <c r="M302" s="66" t="n">
        <f aca="false">DATE(YEAR(B302),MONTH(B302),1)</f>
        <v>45870</v>
      </c>
      <c r="N302" s="35" t="str">
        <f aca="false">IF(G302="","Unknown",G302)</f>
        <v>Patna</v>
      </c>
      <c r="O302" s="35" t="str">
        <f aca="false">IF(E302="","Unknown",IF(E302&lt;=25,"18-25",IF(E302&lt;=35,"26-35",IF(E302&lt;=45,"36-45",IF(E302&lt;=55,"46-55","56-65")))))</f>
        <v>26-35</v>
      </c>
      <c r="P302" s="35" t="n">
        <f aca="false">COUNTIF($C$2:$C$1001,C302)</f>
        <v>1</v>
      </c>
      <c r="Q302" s="35" t="n">
        <f aca="false">IF(COUNTIF($C$2:C302,C302)=1,1,0)</f>
        <v>1</v>
      </c>
    </row>
    <row r="303" customFormat="false" ht="15" hidden="false" customHeight="false" outlineLevel="0" collapsed="false">
      <c r="A303" s="35" t="s">
        <v>1080</v>
      </c>
      <c r="B303" s="64" t="n">
        <v>45743</v>
      </c>
      <c r="C303" s="35" t="s">
        <v>1081</v>
      </c>
      <c r="D303" s="35" t="s">
        <v>654</v>
      </c>
      <c r="E303" s="35" t="n">
        <v>36</v>
      </c>
      <c r="F303" s="35" t="s">
        <v>234</v>
      </c>
      <c r="G303" s="35" t="s">
        <v>216</v>
      </c>
      <c r="H303" s="35" t="s">
        <v>213</v>
      </c>
      <c r="I303" s="35" t="s">
        <v>204</v>
      </c>
      <c r="J303" s="35" t="n">
        <v>6</v>
      </c>
      <c r="K303" s="65" t="n">
        <v>39075.07</v>
      </c>
      <c r="L303" s="65" t="n">
        <v>234450.42</v>
      </c>
      <c r="M303" s="66" t="n">
        <f aca="false">DATE(YEAR(B303),MONTH(B303),1)</f>
        <v>45717</v>
      </c>
      <c r="N303" s="35" t="str">
        <f aca="false">IF(G303="","Unknown",G303)</f>
        <v>Patna</v>
      </c>
      <c r="O303" s="35" t="str">
        <f aca="false">IF(E303="","Unknown",IF(E303&lt;=25,"18-25",IF(E303&lt;=35,"26-35",IF(E303&lt;=45,"36-45",IF(E303&lt;=55,"46-55","56-65")))))</f>
        <v>36-45</v>
      </c>
      <c r="P303" s="35" t="n">
        <f aca="false">COUNTIF($C$2:$C$1001,C303)</f>
        <v>1</v>
      </c>
      <c r="Q303" s="35" t="n">
        <f aca="false">IF(COUNTIF($C$2:C303,C303)=1,1,0)</f>
        <v>1</v>
      </c>
    </row>
    <row r="304" customFormat="false" ht="15" hidden="false" customHeight="false" outlineLevel="0" collapsed="false">
      <c r="A304" s="35" t="s">
        <v>1082</v>
      </c>
      <c r="B304" s="64" t="n">
        <v>45844</v>
      </c>
      <c r="C304" s="35" t="s">
        <v>1083</v>
      </c>
      <c r="D304" s="35" t="s">
        <v>1084</v>
      </c>
      <c r="E304" s="35" t="n">
        <v>20</v>
      </c>
      <c r="F304" s="35" t="s">
        <v>235</v>
      </c>
      <c r="G304" s="35" t="s">
        <v>223</v>
      </c>
      <c r="H304" s="35" t="s">
        <v>212</v>
      </c>
      <c r="I304" s="35" t="s">
        <v>203</v>
      </c>
      <c r="J304" s="35" t="n">
        <v>7</v>
      </c>
      <c r="K304" s="65" t="n">
        <v>7046.4</v>
      </c>
      <c r="L304" s="65" t="n">
        <v>49324.8</v>
      </c>
      <c r="M304" s="66" t="n">
        <f aca="false">DATE(YEAR(B304),MONTH(B304),1)</f>
        <v>45839</v>
      </c>
      <c r="N304" s="35" t="str">
        <f aca="false">IF(G304="","Unknown",G304)</f>
        <v>Gaya</v>
      </c>
      <c r="O304" s="35" t="str">
        <f aca="false">IF(E304="","Unknown",IF(E304&lt;=25,"18-25",IF(E304&lt;=35,"26-35",IF(E304&lt;=45,"36-45",IF(E304&lt;=55,"46-55","56-65")))))</f>
        <v>18-25</v>
      </c>
      <c r="P304" s="35" t="n">
        <f aca="false">COUNTIF($C$2:$C$1001,C304)</f>
        <v>1</v>
      </c>
      <c r="Q304" s="35" t="n">
        <f aca="false">IF(COUNTIF($C$2:C304,C304)=1,1,0)</f>
        <v>1</v>
      </c>
    </row>
    <row r="305" customFormat="false" ht="15" hidden="false" customHeight="false" outlineLevel="0" collapsed="false">
      <c r="A305" s="35" t="s">
        <v>1085</v>
      </c>
      <c r="B305" s="64" t="n">
        <v>45896</v>
      </c>
      <c r="C305" s="35" t="s">
        <v>1086</v>
      </c>
      <c r="D305" s="35" t="s">
        <v>1060</v>
      </c>
      <c r="E305" s="35" t="n">
        <v>40</v>
      </c>
      <c r="F305" s="35" t="s">
        <v>234</v>
      </c>
      <c r="G305" s="35" t="s">
        <v>216</v>
      </c>
      <c r="H305" s="35" t="s">
        <v>213</v>
      </c>
      <c r="I305" s="35" t="s">
        <v>204</v>
      </c>
      <c r="J305" s="35" t="n">
        <v>5</v>
      </c>
      <c r="K305" s="65" t="n">
        <v>40763.95</v>
      </c>
      <c r="L305" s="65" t="n">
        <v>203819.75</v>
      </c>
      <c r="M305" s="66" t="n">
        <f aca="false">DATE(YEAR(B305),MONTH(B305),1)</f>
        <v>45870</v>
      </c>
      <c r="N305" s="35" t="str">
        <f aca="false">IF(G305="","Unknown",G305)</f>
        <v>Patna</v>
      </c>
      <c r="O305" s="35" t="str">
        <f aca="false">IF(E305="","Unknown",IF(E305&lt;=25,"18-25",IF(E305&lt;=35,"26-35",IF(E305&lt;=45,"36-45",IF(E305&lt;=55,"46-55","56-65")))))</f>
        <v>36-45</v>
      </c>
      <c r="P305" s="35" t="n">
        <f aca="false">COUNTIF($C$2:$C$1001,C305)</f>
        <v>1</v>
      </c>
      <c r="Q305" s="35" t="n">
        <f aca="false">IF(COUNTIF($C$2:C305,C305)=1,1,0)</f>
        <v>1</v>
      </c>
    </row>
    <row r="306" customFormat="false" ht="15" hidden="false" customHeight="false" outlineLevel="0" collapsed="false">
      <c r="A306" s="35" t="s">
        <v>1087</v>
      </c>
      <c r="B306" s="64" t="n">
        <v>45871</v>
      </c>
      <c r="C306" s="35" t="s">
        <v>1088</v>
      </c>
      <c r="D306" s="35" t="s">
        <v>350</v>
      </c>
      <c r="E306" s="35" t="n">
        <v>52</v>
      </c>
      <c r="F306" s="35" t="s">
        <v>235</v>
      </c>
      <c r="G306" s="35" t="s">
        <v>216</v>
      </c>
      <c r="H306" s="35" t="s">
        <v>213</v>
      </c>
      <c r="I306" s="35" t="s">
        <v>204</v>
      </c>
      <c r="J306" s="35" t="n">
        <v>1</v>
      </c>
      <c r="K306" s="65" t="n">
        <v>3727.43</v>
      </c>
      <c r="L306" s="65" t="n">
        <v>3727.43</v>
      </c>
      <c r="M306" s="66" t="n">
        <f aca="false">DATE(YEAR(B306),MONTH(B306),1)</f>
        <v>45870</v>
      </c>
      <c r="N306" s="35" t="str">
        <f aca="false">IF(G306="","Unknown",G306)</f>
        <v>Patna</v>
      </c>
      <c r="O306" s="35" t="str">
        <f aca="false">IF(E306="","Unknown",IF(E306&lt;=25,"18-25",IF(E306&lt;=35,"26-35",IF(E306&lt;=45,"36-45",IF(E306&lt;=55,"46-55","56-65")))))</f>
        <v>46-55</v>
      </c>
      <c r="P306" s="35" t="n">
        <f aca="false">COUNTIF($C$2:$C$1001,C306)</f>
        <v>1</v>
      </c>
      <c r="Q306" s="35" t="n">
        <f aca="false">IF(COUNTIF($C$2:C306,C306)=1,1,0)</f>
        <v>1</v>
      </c>
    </row>
    <row r="307" customFormat="false" ht="15" hidden="false" customHeight="false" outlineLevel="0" collapsed="false">
      <c r="A307" s="35" t="s">
        <v>1089</v>
      </c>
      <c r="B307" s="64" t="n">
        <v>46023</v>
      </c>
      <c r="C307" s="35" t="s">
        <v>1090</v>
      </c>
      <c r="D307" s="35" t="s">
        <v>1091</v>
      </c>
      <c r="E307" s="35" t="n">
        <v>53</v>
      </c>
      <c r="F307" s="35" t="s">
        <v>234</v>
      </c>
      <c r="G307" s="35" t="s">
        <v>216</v>
      </c>
      <c r="H307" s="35" t="s">
        <v>211</v>
      </c>
      <c r="I307" s="35" t="s">
        <v>202</v>
      </c>
      <c r="J307" s="35" t="n">
        <v>4</v>
      </c>
      <c r="K307" s="65" t="n">
        <v>46771.94</v>
      </c>
      <c r="L307" s="65" t="n">
        <v>187087.76</v>
      </c>
      <c r="M307" s="66" t="n">
        <f aca="false">DATE(YEAR(B307),MONTH(B307),1)</f>
        <v>46023</v>
      </c>
      <c r="N307" s="35" t="str">
        <f aca="false">IF(G307="","Unknown",G307)</f>
        <v>Patna</v>
      </c>
      <c r="O307" s="35" t="str">
        <f aca="false">IF(E307="","Unknown",IF(E307&lt;=25,"18-25",IF(E307&lt;=35,"26-35",IF(E307&lt;=45,"36-45",IF(E307&lt;=55,"46-55","56-65")))))</f>
        <v>46-55</v>
      </c>
      <c r="P307" s="35" t="n">
        <f aca="false">COUNTIF($C$2:$C$1001,C307)</f>
        <v>1</v>
      </c>
      <c r="Q307" s="35" t="n">
        <f aca="false">IF(COUNTIF($C$2:C307,C307)=1,1,0)</f>
        <v>1</v>
      </c>
    </row>
    <row r="308" customFormat="false" ht="15" hidden="false" customHeight="false" outlineLevel="0" collapsed="false">
      <c r="A308" s="35" t="s">
        <v>1092</v>
      </c>
      <c r="B308" s="64" t="n">
        <v>46003</v>
      </c>
      <c r="C308" s="35" t="s">
        <v>1093</v>
      </c>
      <c r="D308" s="35" t="s">
        <v>1094</v>
      </c>
      <c r="E308" s="35" t="n">
        <v>50</v>
      </c>
      <c r="F308" s="35" t="s">
        <v>234</v>
      </c>
      <c r="G308" s="35" t="s">
        <v>217</v>
      </c>
      <c r="H308" s="35" t="s">
        <v>210</v>
      </c>
      <c r="I308" s="35" t="s">
        <v>201</v>
      </c>
      <c r="J308" s="35" t="n">
        <v>7</v>
      </c>
      <c r="K308" s="65" t="n">
        <v>43207.91</v>
      </c>
      <c r="L308" s="65" t="n">
        <v>302455.37</v>
      </c>
      <c r="M308" s="66" t="n">
        <f aca="false">DATE(YEAR(B308),MONTH(B308),1)</f>
        <v>45992</v>
      </c>
      <c r="N308" s="35" t="str">
        <f aca="false">IF(G308="","Unknown",G308)</f>
        <v>Kolkata</v>
      </c>
      <c r="O308" s="35" t="str">
        <f aca="false">IF(E308="","Unknown",IF(E308&lt;=25,"18-25",IF(E308&lt;=35,"26-35",IF(E308&lt;=45,"36-45",IF(E308&lt;=55,"46-55","56-65")))))</f>
        <v>46-55</v>
      </c>
      <c r="P308" s="35" t="n">
        <f aca="false">COUNTIF($C$2:$C$1001,C308)</f>
        <v>1</v>
      </c>
      <c r="Q308" s="35" t="n">
        <f aca="false">IF(COUNTIF($C$2:C308,C308)=1,1,0)</f>
        <v>1</v>
      </c>
    </row>
    <row r="309" customFormat="false" ht="15" hidden="false" customHeight="false" outlineLevel="0" collapsed="false">
      <c r="A309" s="35" t="s">
        <v>1095</v>
      </c>
      <c r="B309" s="64" t="n">
        <v>45739</v>
      </c>
      <c r="C309" s="35" t="s">
        <v>1096</v>
      </c>
      <c r="D309" s="35" t="s">
        <v>1007</v>
      </c>
      <c r="E309" s="35" t="n">
        <v>50</v>
      </c>
      <c r="F309" s="35" t="s">
        <v>235</v>
      </c>
      <c r="G309" s="35" t="s">
        <v>216</v>
      </c>
      <c r="H309" s="35" t="s">
        <v>210</v>
      </c>
      <c r="I309" s="35" t="s">
        <v>201</v>
      </c>
      <c r="J309" s="35" t="n">
        <v>3</v>
      </c>
      <c r="K309" s="65" t="n">
        <v>5803.11</v>
      </c>
      <c r="L309" s="65" t="n">
        <v>17409.33</v>
      </c>
      <c r="M309" s="66" t="n">
        <f aca="false">DATE(YEAR(B309),MONTH(B309),1)</f>
        <v>45717</v>
      </c>
      <c r="N309" s="35" t="str">
        <f aca="false">IF(G309="","Unknown",G309)</f>
        <v>Patna</v>
      </c>
      <c r="O309" s="35" t="str">
        <f aca="false">IF(E309="","Unknown",IF(E309&lt;=25,"18-25",IF(E309&lt;=35,"26-35",IF(E309&lt;=45,"36-45",IF(E309&lt;=55,"46-55","56-65")))))</f>
        <v>46-55</v>
      </c>
      <c r="P309" s="35" t="n">
        <f aca="false">COUNTIF($C$2:$C$1001,C309)</f>
        <v>1</v>
      </c>
      <c r="Q309" s="35" t="n">
        <f aca="false">IF(COUNTIF($C$2:C309,C309)=1,1,0)</f>
        <v>1</v>
      </c>
    </row>
    <row r="310" customFormat="false" ht="15" hidden="false" customHeight="false" outlineLevel="0" collapsed="false">
      <c r="A310" s="35" t="s">
        <v>1097</v>
      </c>
      <c r="B310" s="64" t="n">
        <v>45867</v>
      </c>
      <c r="C310" s="35" t="s">
        <v>1098</v>
      </c>
      <c r="D310" s="35" t="s">
        <v>1099</v>
      </c>
      <c r="E310" s="35" t="n">
        <v>27</v>
      </c>
      <c r="F310" s="35" t="s">
        <v>234</v>
      </c>
      <c r="G310" s="35" t="s">
        <v>221</v>
      </c>
      <c r="H310" s="35" t="s">
        <v>210</v>
      </c>
      <c r="I310" s="35" t="s">
        <v>201</v>
      </c>
      <c r="J310" s="35" t="n">
        <v>4</v>
      </c>
      <c r="K310" s="65" t="n">
        <v>30974.95</v>
      </c>
      <c r="L310" s="65" t="n">
        <v>123899.8</v>
      </c>
      <c r="M310" s="66" t="n">
        <f aca="false">DATE(YEAR(B310),MONTH(B310),1)</f>
        <v>45839</v>
      </c>
      <c r="N310" s="35" t="str">
        <f aca="false">IF(G310="","Unknown",G310)</f>
        <v>Delhi</v>
      </c>
      <c r="O310" s="35" t="str">
        <f aca="false">IF(E310="","Unknown",IF(E310&lt;=25,"18-25",IF(E310&lt;=35,"26-35",IF(E310&lt;=45,"36-45",IF(E310&lt;=55,"46-55","56-65")))))</f>
        <v>26-35</v>
      </c>
      <c r="P310" s="35" t="n">
        <f aca="false">COUNTIF($C$2:$C$1001,C310)</f>
        <v>1</v>
      </c>
      <c r="Q310" s="35" t="n">
        <f aca="false">IF(COUNTIF($C$2:C310,C310)=1,1,0)</f>
        <v>1</v>
      </c>
    </row>
    <row r="311" customFormat="false" ht="15" hidden="false" customHeight="false" outlineLevel="0" collapsed="false">
      <c r="A311" s="35" t="s">
        <v>1100</v>
      </c>
      <c r="B311" s="64" t="n">
        <v>45908</v>
      </c>
      <c r="C311" s="35" t="s">
        <v>1101</v>
      </c>
      <c r="D311" s="35" t="s">
        <v>1102</v>
      </c>
      <c r="E311" s="35" t="n">
        <v>56</v>
      </c>
      <c r="F311" s="35" t="s">
        <v>234</v>
      </c>
      <c r="G311" s="35" t="s">
        <v>220</v>
      </c>
      <c r="H311" s="35" t="s">
        <v>213</v>
      </c>
      <c r="I311" s="35" t="s">
        <v>204</v>
      </c>
      <c r="J311" s="35" t="n">
        <v>4</v>
      </c>
      <c r="K311" s="65" t="n">
        <v>40276.76</v>
      </c>
      <c r="L311" s="65" t="n">
        <v>161107.04</v>
      </c>
      <c r="M311" s="66" t="n">
        <f aca="false">DATE(YEAR(B311),MONTH(B311),1)</f>
        <v>45901</v>
      </c>
      <c r="N311" s="35" t="str">
        <f aca="false">IF(G311="","Unknown",G311)</f>
        <v>Hyderabad</v>
      </c>
      <c r="O311" s="35" t="str">
        <f aca="false">IF(E311="","Unknown",IF(E311&lt;=25,"18-25",IF(E311&lt;=35,"26-35",IF(E311&lt;=45,"36-45",IF(E311&lt;=55,"46-55","56-65")))))</f>
        <v>56-65</v>
      </c>
      <c r="P311" s="35" t="n">
        <f aca="false">COUNTIF($C$2:$C$1001,C311)</f>
        <v>1</v>
      </c>
      <c r="Q311" s="35" t="n">
        <f aca="false">IF(COUNTIF($C$2:C311,C311)=1,1,0)</f>
        <v>1</v>
      </c>
    </row>
    <row r="312" customFormat="false" ht="15" hidden="false" customHeight="false" outlineLevel="0" collapsed="false">
      <c r="A312" s="35" t="s">
        <v>1103</v>
      </c>
      <c r="B312" s="64" t="n">
        <v>45973</v>
      </c>
      <c r="C312" s="35" t="s">
        <v>1104</v>
      </c>
      <c r="D312" s="35" t="s">
        <v>1105</v>
      </c>
      <c r="E312" s="35" t="n">
        <v>64</v>
      </c>
      <c r="F312" s="35" t="s">
        <v>234</v>
      </c>
      <c r="G312" s="35" t="s">
        <v>220</v>
      </c>
      <c r="H312" s="35" t="s">
        <v>209</v>
      </c>
      <c r="I312" s="35" t="s">
        <v>200</v>
      </c>
      <c r="J312" s="35" t="n">
        <v>8</v>
      </c>
      <c r="K312" s="65" t="n">
        <v>17270.72</v>
      </c>
      <c r="L312" s="65" t="n">
        <v>138165.76</v>
      </c>
      <c r="M312" s="66" t="n">
        <f aca="false">DATE(YEAR(B312),MONTH(B312),1)</f>
        <v>45962</v>
      </c>
      <c r="N312" s="35" t="str">
        <f aca="false">IF(G312="","Unknown",G312)</f>
        <v>Hyderabad</v>
      </c>
      <c r="O312" s="35" t="str">
        <f aca="false">IF(E312="","Unknown",IF(E312&lt;=25,"18-25",IF(E312&lt;=35,"26-35",IF(E312&lt;=45,"36-45",IF(E312&lt;=55,"46-55","56-65")))))</f>
        <v>56-65</v>
      </c>
      <c r="P312" s="35" t="n">
        <f aca="false">COUNTIF($C$2:$C$1001,C312)</f>
        <v>1</v>
      </c>
      <c r="Q312" s="35" t="n">
        <f aca="false">IF(COUNTIF($C$2:C312,C312)=1,1,0)</f>
        <v>1</v>
      </c>
    </row>
    <row r="313" customFormat="false" ht="15" hidden="false" customHeight="false" outlineLevel="0" collapsed="false">
      <c r="A313" s="35" t="s">
        <v>1106</v>
      </c>
      <c r="B313" s="64" t="n">
        <v>45953</v>
      </c>
      <c r="C313" s="35" t="s">
        <v>1107</v>
      </c>
      <c r="D313" s="35" t="s">
        <v>311</v>
      </c>
      <c r="E313" s="35" t="n">
        <v>64</v>
      </c>
      <c r="F313" s="35" t="s">
        <v>235</v>
      </c>
      <c r="G313" s="35" t="s">
        <v>220</v>
      </c>
      <c r="H313" s="35" t="s">
        <v>210</v>
      </c>
      <c r="I313" s="35" t="s">
        <v>201</v>
      </c>
      <c r="J313" s="35" t="n">
        <v>6</v>
      </c>
      <c r="K313" s="65" t="n">
        <v>8249.36</v>
      </c>
      <c r="L313" s="65" t="n">
        <v>49496.16</v>
      </c>
      <c r="M313" s="66" t="n">
        <f aca="false">DATE(YEAR(B313),MONTH(B313),1)</f>
        <v>45931</v>
      </c>
      <c r="N313" s="35" t="str">
        <f aca="false">IF(G313="","Unknown",G313)</f>
        <v>Hyderabad</v>
      </c>
      <c r="O313" s="35" t="str">
        <f aca="false">IF(E313="","Unknown",IF(E313&lt;=25,"18-25",IF(E313&lt;=35,"26-35",IF(E313&lt;=45,"36-45",IF(E313&lt;=55,"46-55","56-65")))))</f>
        <v>56-65</v>
      </c>
      <c r="P313" s="35" t="n">
        <f aca="false">COUNTIF($C$2:$C$1001,C313)</f>
        <v>1</v>
      </c>
      <c r="Q313" s="35" t="n">
        <f aca="false">IF(COUNTIF($C$2:C313,C313)=1,1,0)</f>
        <v>1</v>
      </c>
    </row>
    <row r="314" customFormat="false" ht="15" hidden="false" customHeight="false" outlineLevel="0" collapsed="false">
      <c r="A314" s="35" t="s">
        <v>1108</v>
      </c>
      <c r="B314" s="64" t="n">
        <v>45860</v>
      </c>
      <c r="C314" s="35" t="s">
        <v>1109</v>
      </c>
      <c r="D314" s="35" t="s">
        <v>674</v>
      </c>
      <c r="E314" s="35" t="n">
        <v>49</v>
      </c>
      <c r="F314" s="35" t="s">
        <v>235</v>
      </c>
      <c r="G314" s="35" t="s">
        <v>218</v>
      </c>
      <c r="H314" s="35" t="s">
        <v>209</v>
      </c>
      <c r="I314" s="35" t="s">
        <v>200</v>
      </c>
      <c r="J314" s="35" t="n">
        <v>8</v>
      </c>
      <c r="K314" s="65" t="n">
        <v>42935.06</v>
      </c>
      <c r="L314" s="65" t="n">
        <v>343480.48</v>
      </c>
      <c r="M314" s="66" t="n">
        <f aca="false">DATE(YEAR(B314),MONTH(B314),1)</f>
        <v>45839</v>
      </c>
      <c r="N314" s="35" t="str">
        <f aca="false">IF(G314="","Unknown",G314)</f>
        <v>Bengaluru</v>
      </c>
      <c r="O314" s="35" t="str">
        <f aca="false">IF(E314="","Unknown",IF(E314&lt;=25,"18-25",IF(E314&lt;=35,"26-35",IF(E314&lt;=45,"36-45",IF(E314&lt;=55,"46-55","56-65")))))</f>
        <v>46-55</v>
      </c>
      <c r="P314" s="35" t="n">
        <f aca="false">COUNTIF($C$2:$C$1001,C314)</f>
        <v>1</v>
      </c>
      <c r="Q314" s="35" t="n">
        <f aca="false">IF(COUNTIF($C$2:C314,C314)=1,1,0)</f>
        <v>1</v>
      </c>
    </row>
    <row r="315" customFormat="false" ht="15" hidden="false" customHeight="false" outlineLevel="0" collapsed="false">
      <c r="A315" s="35" t="s">
        <v>1110</v>
      </c>
      <c r="B315" s="64" t="n">
        <v>45816</v>
      </c>
      <c r="C315" s="35" t="s">
        <v>1111</v>
      </c>
      <c r="D315" s="35" t="s">
        <v>272</v>
      </c>
      <c r="E315" s="35" t="n">
        <v>51</v>
      </c>
      <c r="F315" s="35" t="s">
        <v>235</v>
      </c>
      <c r="G315" s="35" t="s">
        <v>221</v>
      </c>
      <c r="H315" s="35" t="s">
        <v>208</v>
      </c>
      <c r="I315" s="35" t="s">
        <v>200</v>
      </c>
      <c r="J315" s="35" t="n">
        <v>8</v>
      </c>
      <c r="K315" s="65" t="n">
        <v>1722.06</v>
      </c>
      <c r="L315" s="65" t="n">
        <v>13776.48</v>
      </c>
      <c r="M315" s="66" t="n">
        <f aca="false">DATE(YEAR(B315),MONTH(B315),1)</f>
        <v>45809</v>
      </c>
      <c r="N315" s="35" t="str">
        <f aca="false">IF(G315="","Unknown",G315)</f>
        <v>Delhi</v>
      </c>
      <c r="O315" s="35" t="str">
        <f aca="false">IF(E315="","Unknown",IF(E315&lt;=25,"18-25",IF(E315&lt;=35,"26-35",IF(E315&lt;=45,"36-45",IF(E315&lt;=55,"46-55","56-65")))))</f>
        <v>46-55</v>
      </c>
      <c r="P315" s="35" t="n">
        <f aca="false">COUNTIF($C$2:$C$1001,C315)</f>
        <v>1</v>
      </c>
      <c r="Q315" s="35" t="n">
        <f aca="false">IF(COUNTIF($C$2:C315,C315)=1,1,0)</f>
        <v>1</v>
      </c>
    </row>
    <row r="316" customFormat="false" ht="15" hidden="false" customHeight="false" outlineLevel="0" collapsed="false">
      <c r="A316" s="35" t="s">
        <v>1112</v>
      </c>
      <c r="B316" s="64" t="n">
        <v>45768</v>
      </c>
      <c r="C316" s="35" t="s">
        <v>1113</v>
      </c>
      <c r="D316" s="35" t="s">
        <v>299</v>
      </c>
      <c r="E316" s="35" t="n">
        <v>32</v>
      </c>
      <c r="F316" s="35" t="s">
        <v>234</v>
      </c>
      <c r="G316" s="35" t="s">
        <v>222</v>
      </c>
      <c r="H316" s="35" t="s">
        <v>209</v>
      </c>
      <c r="I316" s="35" t="s">
        <v>200</v>
      </c>
      <c r="J316" s="35" t="n">
        <v>5</v>
      </c>
      <c r="K316" s="65" t="n">
        <v>25857.91</v>
      </c>
      <c r="L316" s="65" t="n">
        <v>129289.55</v>
      </c>
      <c r="M316" s="66" t="n">
        <f aca="false">DATE(YEAR(B316),MONTH(B316),1)</f>
        <v>45748</v>
      </c>
      <c r="N316" s="35" t="str">
        <f aca="false">IF(G316="","Unknown",G316)</f>
        <v>Pune</v>
      </c>
      <c r="O316" s="35" t="str">
        <f aca="false">IF(E316="","Unknown",IF(E316&lt;=25,"18-25",IF(E316&lt;=35,"26-35",IF(E316&lt;=45,"36-45",IF(E316&lt;=55,"46-55","56-65")))))</f>
        <v>26-35</v>
      </c>
      <c r="P316" s="35" t="n">
        <f aca="false">COUNTIF($C$2:$C$1001,C316)</f>
        <v>1</v>
      </c>
      <c r="Q316" s="35" t="n">
        <f aca="false">IF(COUNTIF($C$2:C316,C316)=1,1,0)</f>
        <v>1</v>
      </c>
    </row>
    <row r="317" customFormat="false" ht="15" hidden="false" customHeight="false" outlineLevel="0" collapsed="false">
      <c r="A317" s="35" t="s">
        <v>1114</v>
      </c>
      <c r="B317" s="64" t="n">
        <v>45713</v>
      </c>
      <c r="C317" s="35" t="s">
        <v>295</v>
      </c>
      <c r="D317" s="35" t="s">
        <v>713</v>
      </c>
      <c r="E317" s="35" t="n">
        <v>37</v>
      </c>
      <c r="F317" s="35" t="s">
        <v>235</v>
      </c>
      <c r="G317" s="35" t="s">
        <v>220</v>
      </c>
      <c r="H317" s="35" t="s">
        <v>210</v>
      </c>
      <c r="I317" s="35" t="s">
        <v>201</v>
      </c>
      <c r="J317" s="35" t="n">
        <v>4</v>
      </c>
      <c r="K317" s="65" t="n">
        <v>47319.13</v>
      </c>
      <c r="L317" s="65" t="n">
        <v>189276.52</v>
      </c>
      <c r="M317" s="66" t="n">
        <f aca="false">DATE(YEAR(B317),MONTH(B317),1)</f>
        <v>45689</v>
      </c>
      <c r="N317" s="35" t="str">
        <f aca="false">IF(G317="","Unknown",G317)</f>
        <v>Hyderabad</v>
      </c>
      <c r="O317" s="35" t="str">
        <f aca="false">IF(E317="","Unknown",IF(E317&lt;=25,"18-25",IF(E317&lt;=35,"26-35",IF(E317&lt;=45,"36-45",IF(E317&lt;=55,"46-55","56-65")))))</f>
        <v>36-45</v>
      </c>
      <c r="P317" s="35" t="n">
        <f aca="false">COUNTIF($C$2:$C$1001,C317)</f>
        <v>2</v>
      </c>
      <c r="Q317" s="35" t="n">
        <f aca="false">IF(COUNTIF($C$2:C317,C317)=1,1,0)</f>
        <v>0</v>
      </c>
    </row>
    <row r="318" customFormat="false" ht="15" hidden="false" customHeight="false" outlineLevel="0" collapsed="false">
      <c r="A318" s="35" t="s">
        <v>1115</v>
      </c>
      <c r="B318" s="64" t="n">
        <v>45687</v>
      </c>
      <c r="C318" s="35" t="s">
        <v>1116</v>
      </c>
      <c r="D318" s="35" t="s">
        <v>1117</v>
      </c>
      <c r="E318" s="35" t="n">
        <v>51</v>
      </c>
      <c r="F318" s="35" t="s">
        <v>234</v>
      </c>
      <c r="G318" s="35" t="s">
        <v>217</v>
      </c>
      <c r="H318" s="35" t="s">
        <v>209</v>
      </c>
      <c r="I318" s="35" t="s">
        <v>200</v>
      </c>
      <c r="J318" s="35" t="n">
        <v>2</v>
      </c>
      <c r="K318" s="65" t="n">
        <v>21816.67</v>
      </c>
      <c r="L318" s="65" t="n">
        <v>43633.34</v>
      </c>
      <c r="M318" s="66" t="n">
        <f aca="false">DATE(YEAR(B318),MONTH(B318),1)</f>
        <v>45658</v>
      </c>
      <c r="N318" s="35" t="str">
        <f aca="false">IF(G318="","Unknown",G318)</f>
        <v>Kolkata</v>
      </c>
      <c r="O318" s="35" t="str">
        <f aca="false">IF(E318="","Unknown",IF(E318&lt;=25,"18-25",IF(E318&lt;=35,"26-35",IF(E318&lt;=45,"36-45",IF(E318&lt;=55,"46-55","56-65")))))</f>
        <v>46-55</v>
      </c>
      <c r="P318" s="35" t="n">
        <f aca="false">COUNTIF($C$2:$C$1001,C318)</f>
        <v>1</v>
      </c>
      <c r="Q318" s="35" t="n">
        <f aca="false">IF(COUNTIF($C$2:C318,C318)=1,1,0)</f>
        <v>1</v>
      </c>
    </row>
    <row r="319" customFormat="false" ht="15" hidden="false" customHeight="false" outlineLevel="0" collapsed="false">
      <c r="A319" s="35" t="s">
        <v>1118</v>
      </c>
      <c r="B319" s="64" t="n">
        <v>45816</v>
      </c>
      <c r="C319" s="35" t="s">
        <v>1119</v>
      </c>
      <c r="D319" s="35" t="s">
        <v>1120</v>
      </c>
      <c r="E319" s="35" t="n">
        <v>52</v>
      </c>
      <c r="F319" s="35" t="s">
        <v>235</v>
      </c>
      <c r="G319" s="35" t="s">
        <v>216</v>
      </c>
      <c r="H319" s="35" t="s">
        <v>213</v>
      </c>
      <c r="I319" s="35" t="s">
        <v>204</v>
      </c>
      <c r="J319" s="35" t="n">
        <v>3</v>
      </c>
      <c r="K319" s="65" t="n">
        <v>10075.98</v>
      </c>
      <c r="L319" s="65" t="n">
        <v>30227.94</v>
      </c>
      <c r="M319" s="66" t="n">
        <f aca="false">DATE(YEAR(B319),MONTH(B319),1)</f>
        <v>45809</v>
      </c>
      <c r="N319" s="35" t="str">
        <f aca="false">IF(G319="","Unknown",G319)</f>
        <v>Patna</v>
      </c>
      <c r="O319" s="35" t="str">
        <f aca="false">IF(E319="","Unknown",IF(E319&lt;=25,"18-25",IF(E319&lt;=35,"26-35",IF(E319&lt;=45,"36-45",IF(E319&lt;=55,"46-55","56-65")))))</f>
        <v>46-55</v>
      </c>
      <c r="P319" s="35" t="n">
        <f aca="false">COUNTIF($C$2:$C$1001,C319)</f>
        <v>1</v>
      </c>
      <c r="Q319" s="35" t="n">
        <f aca="false">IF(COUNTIF($C$2:C319,C319)=1,1,0)</f>
        <v>1</v>
      </c>
    </row>
    <row r="320" customFormat="false" ht="15" hidden="false" customHeight="false" outlineLevel="0" collapsed="false">
      <c r="A320" s="35" t="s">
        <v>1121</v>
      </c>
      <c r="B320" s="64" t="n">
        <v>45784</v>
      </c>
      <c r="C320" s="35" t="s">
        <v>1122</v>
      </c>
      <c r="D320" s="35" t="s">
        <v>1123</v>
      </c>
      <c r="E320" s="35" t="n">
        <v>52</v>
      </c>
      <c r="F320" s="35" t="s">
        <v>234</v>
      </c>
      <c r="G320" s="35" t="s">
        <v>219</v>
      </c>
      <c r="H320" s="35" t="s">
        <v>208</v>
      </c>
      <c r="I320" s="35" t="s">
        <v>200</v>
      </c>
      <c r="J320" s="35" t="n">
        <v>9</v>
      </c>
      <c r="K320" s="65" t="n">
        <v>22182.44</v>
      </c>
      <c r="L320" s="65" t="n">
        <v>199641.96</v>
      </c>
      <c r="M320" s="66" t="n">
        <f aca="false">DATE(YEAR(B320),MONTH(B320),1)</f>
        <v>45778</v>
      </c>
      <c r="N320" s="35" t="str">
        <f aca="false">IF(G320="","Unknown",G320)</f>
        <v>Mumbai</v>
      </c>
      <c r="O320" s="35" t="str">
        <f aca="false">IF(E320="","Unknown",IF(E320&lt;=25,"18-25",IF(E320&lt;=35,"26-35",IF(E320&lt;=45,"36-45",IF(E320&lt;=55,"46-55","56-65")))))</f>
        <v>46-55</v>
      </c>
      <c r="P320" s="35" t="n">
        <f aca="false">COUNTIF($C$2:$C$1001,C320)</f>
        <v>1</v>
      </c>
      <c r="Q320" s="35" t="n">
        <f aca="false">IF(COUNTIF($C$2:C320,C320)=1,1,0)</f>
        <v>1</v>
      </c>
    </row>
    <row r="321" customFormat="false" ht="15" hidden="false" customHeight="false" outlineLevel="0" collapsed="false">
      <c r="A321" s="35" t="s">
        <v>1124</v>
      </c>
      <c r="B321" s="64" t="n">
        <v>45830</v>
      </c>
      <c r="C321" s="35" t="s">
        <v>1125</v>
      </c>
      <c r="D321" s="35" t="s">
        <v>1126</v>
      </c>
      <c r="E321" s="35" t="n">
        <v>54</v>
      </c>
      <c r="F321" s="35" t="s">
        <v>234</v>
      </c>
      <c r="G321" s="35" t="s">
        <v>219</v>
      </c>
      <c r="H321" s="35" t="s">
        <v>210</v>
      </c>
      <c r="I321" s="35" t="s">
        <v>201</v>
      </c>
      <c r="J321" s="35" t="n">
        <v>6</v>
      </c>
      <c r="K321" s="65" t="n">
        <v>35006.3</v>
      </c>
      <c r="L321" s="65" t="n">
        <v>210037.8</v>
      </c>
      <c r="M321" s="66" t="n">
        <f aca="false">DATE(YEAR(B321),MONTH(B321),1)</f>
        <v>45809</v>
      </c>
      <c r="N321" s="35" t="str">
        <f aca="false">IF(G321="","Unknown",G321)</f>
        <v>Mumbai</v>
      </c>
      <c r="O321" s="35" t="str">
        <f aca="false">IF(E321="","Unknown",IF(E321&lt;=25,"18-25",IF(E321&lt;=35,"26-35",IF(E321&lt;=45,"36-45",IF(E321&lt;=55,"46-55","56-65")))))</f>
        <v>46-55</v>
      </c>
      <c r="P321" s="35" t="n">
        <f aca="false">COUNTIF($C$2:$C$1001,C321)</f>
        <v>1</v>
      </c>
      <c r="Q321" s="35" t="n">
        <f aca="false">IF(COUNTIF($C$2:C321,C321)=1,1,0)</f>
        <v>1</v>
      </c>
    </row>
    <row r="322" customFormat="false" ht="15" hidden="false" customHeight="false" outlineLevel="0" collapsed="false">
      <c r="A322" s="35" t="s">
        <v>1127</v>
      </c>
      <c r="B322" s="64" t="n">
        <v>45884</v>
      </c>
      <c r="C322" s="35" t="s">
        <v>1128</v>
      </c>
      <c r="D322" s="35" t="s">
        <v>1129</v>
      </c>
      <c r="E322" s="35" t="n">
        <v>56</v>
      </c>
      <c r="F322" s="35" t="s">
        <v>235</v>
      </c>
      <c r="G322" s="35" t="s">
        <v>217</v>
      </c>
      <c r="H322" s="35" t="s">
        <v>212</v>
      </c>
      <c r="I322" s="35" t="s">
        <v>203</v>
      </c>
      <c r="J322" s="35" t="n">
        <v>10</v>
      </c>
      <c r="K322" s="65" t="n">
        <v>16222.64</v>
      </c>
      <c r="L322" s="65" t="n">
        <v>162226.4</v>
      </c>
      <c r="M322" s="66" t="n">
        <f aca="false">DATE(YEAR(B322),MONTH(B322),1)</f>
        <v>45870</v>
      </c>
      <c r="N322" s="35" t="str">
        <f aca="false">IF(G322="","Unknown",G322)</f>
        <v>Kolkata</v>
      </c>
      <c r="O322" s="35" t="str">
        <f aca="false">IF(E322="","Unknown",IF(E322&lt;=25,"18-25",IF(E322&lt;=35,"26-35",IF(E322&lt;=45,"36-45",IF(E322&lt;=55,"46-55","56-65")))))</f>
        <v>56-65</v>
      </c>
      <c r="P322" s="35" t="n">
        <f aca="false">COUNTIF($C$2:$C$1001,C322)</f>
        <v>1</v>
      </c>
      <c r="Q322" s="35" t="n">
        <f aca="false">IF(COUNTIF($C$2:C322,C322)=1,1,0)</f>
        <v>1</v>
      </c>
    </row>
    <row r="323" customFormat="false" ht="15" hidden="false" customHeight="false" outlineLevel="0" collapsed="false">
      <c r="A323" s="35" t="s">
        <v>1130</v>
      </c>
      <c r="B323" s="64" t="n">
        <v>45920</v>
      </c>
      <c r="C323" s="35" t="s">
        <v>1131</v>
      </c>
      <c r="D323" s="35" t="s">
        <v>1132</v>
      </c>
      <c r="E323" s="35" t="n">
        <v>35</v>
      </c>
      <c r="F323" s="35" t="s">
        <v>234</v>
      </c>
      <c r="G323" s="35" t="s">
        <v>221</v>
      </c>
      <c r="H323" s="35" t="s">
        <v>209</v>
      </c>
      <c r="I323" s="35" t="s">
        <v>200</v>
      </c>
      <c r="J323" s="35" t="n">
        <v>4</v>
      </c>
      <c r="K323" s="65" t="n">
        <v>1935.28</v>
      </c>
      <c r="L323" s="65" t="n">
        <v>7741.12</v>
      </c>
      <c r="M323" s="66" t="n">
        <f aca="false">DATE(YEAR(B323),MONTH(B323),1)</f>
        <v>45901</v>
      </c>
      <c r="N323" s="35" t="str">
        <f aca="false">IF(G323="","Unknown",G323)</f>
        <v>Delhi</v>
      </c>
      <c r="O323" s="35" t="str">
        <f aca="false">IF(E323="","Unknown",IF(E323&lt;=25,"18-25",IF(E323&lt;=35,"26-35",IF(E323&lt;=45,"36-45",IF(E323&lt;=55,"46-55","56-65")))))</f>
        <v>26-35</v>
      </c>
      <c r="P323" s="35" t="n">
        <f aca="false">COUNTIF($C$2:$C$1001,C323)</f>
        <v>1</v>
      </c>
      <c r="Q323" s="35" t="n">
        <f aca="false">IF(COUNTIF($C$2:C323,C323)=1,1,0)</f>
        <v>1</v>
      </c>
    </row>
    <row r="324" customFormat="false" ht="15" hidden="false" customHeight="false" outlineLevel="0" collapsed="false">
      <c r="A324" s="35" t="s">
        <v>1133</v>
      </c>
      <c r="B324" s="64" t="n">
        <v>45858</v>
      </c>
      <c r="C324" s="35" t="s">
        <v>1134</v>
      </c>
      <c r="D324" s="35" t="s">
        <v>503</v>
      </c>
      <c r="E324" s="35" t="n">
        <v>54</v>
      </c>
      <c r="F324" s="35" t="s">
        <v>235</v>
      </c>
      <c r="G324" s="35" t="s">
        <v>220</v>
      </c>
      <c r="H324" s="35" t="s">
        <v>210</v>
      </c>
      <c r="I324" s="35" t="s">
        <v>201</v>
      </c>
      <c r="J324" s="35" t="n">
        <v>4</v>
      </c>
      <c r="K324" s="65" t="n">
        <v>28385.87</v>
      </c>
      <c r="L324" s="65" t="n">
        <v>113543.48</v>
      </c>
      <c r="M324" s="66" t="n">
        <f aca="false">DATE(YEAR(B324),MONTH(B324),1)</f>
        <v>45839</v>
      </c>
      <c r="N324" s="35" t="str">
        <f aca="false">IF(G324="","Unknown",G324)</f>
        <v>Hyderabad</v>
      </c>
      <c r="O324" s="35" t="str">
        <f aca="false">IF(E324="","Unknown",IF(E324&lt;=25,"18-25",IF(E324&lt;=35,"26-35",IF(E324&lt;=45,"36-45",IF(E324&lt;=55,"46-55","56-65")))))</f>
        <v>46-55</v>
      </c>
      <c r="P324" s="35" t="n">
        <f aca="false">COUNTIF($C$2:$C$1001,C324)</f>
        <v>1</v>
      </c>
      <c r="Q324" s="35" t="n">
        <f aca="false">IF(COUNTIF($C$2:C324,C324)=1,1,0)</f>
        <v>1</v>
      </c>
    </row>
    <row r="325" customFormat="false" ht="15" hidden="false" customHeight="false" outlineLevel="0" collapsed="false">
      <c r="A325" s="35" t="s">
        <v>1135</v>
      </c>
      <c r="B325" s="64" t="n">
        <v>45895</v>
      </c>
      <c r="C325" s="35" t="s">
        <v>1136</v>
      </c>
      <c r="D325" s="35" t="s">
        <v>680</v>
      </c>
      <c r="E325" s="35" t="n">
        <v>40</v>
      </c>
      <c r="F325" s="35" t="s">
        <v>234</v>
      </c>
      <c r="G325" s="35" t="s">
        <v>221</v>
      </c>
      <c r="H325" s="35" t="s">
        <v>212</v>
      </c>
      <c r="I325" s="35" t="s">
        <v>203</v>
      </c>
      <c r="J325" s="35" t="n">
        <v>8</v>
      </c>
      <c r="K325" s="65" t="n">
        <v>33388.11</v>
      </c>
      <c r="L325" s="65" t="n">
        <v>267104.88</v>
      </c>
      <c r="M325" s="66" t="n">
        <f aca="false">DATE(YEAR(B325),MONTH(B325),1)</f>
        <v>45870</v>
      </c>
      <c r="N325" s="35" t="str">
        <f aca="false">IF(G325="","Unknown",G325)</f>
        <v>Delhi</v>
      </c>
      <c r="O325" s="35" t="str">
        <f aca="false">IF(E325="","Unknown",IF(E325&lt;=25,"18-25",IF(E325&lt;=35,"26-35",IF(E325&lt;=45,"36-45",IF(E325&lt;=55,"46-55","56-65")))))</f>
        <v>36-45</v>
      </c>
      <c r="P325" s="35" t="n">
        <f aca="false">COUNTIF($C$2:$C$1001,C325)</f>
        <v>1</v>
      </c>
      <c r="Q325" s="35" t="n">
        <f aca="false">IF(COUNTIF($C$2:C325,C325)=1,1,0)</f>
        <v>1</v>
      </c>
    </row>
    <row r="326" customFormat="false" ht="15" hidden="false" customHeight="false" outlineLevel="0" collapsed="false">
      <c r="A326" s="35" t="s">
        <v>1137</v>
      </c>
      <c r="B326" s="64" t="n">
        <v>45804</v>
      </c>
      <c r="C326" s="35" t="s">
        <v>1138</v>
      </c>
      <c r="D326" s="35" t="s">
        <v>1139</v>
      </c>
      <c r="E326" s="35" t="n">
        <v>30</v>
      </c>
      <c r="F326" s="35" t="s">
        <v>235</v>
      </c>
      <c r="G326" s="35" t="s">
        <v>218</v>
      </c>
      <c r="H326" s="35" t="s">
        <v>209</v>
      </c>
      <c r="I326" s="35" t="s">
        <v>200</v>
      </c>
      <c r="J326" s="35" t="n">
        <v>1</v>
      </c>
      <c r="K326" s="65" t="n">
        <v>1005.21</v>
      </c>
      <c r="L326" s="65" t="n">
        <v>1005.21</v>
      </c>
      <c r="M326" s="66" t="n">
        <f aca="false">DATE(YEAR(B326),MONTH(B326),1)</f>
        <v>45778</v>
      </c>
      <c r="N326" s="35" t="str">
        <f aca="false">IF(G326="","Unknown",G326)</f>
        <v>Bengaluru</v>
      </c>
      <c r="O326" s="35" t="str">
        <f aca="false">IF(E326="","Unknown",IF(E326&lt;=25,"18-25",IF(E326&lt;=35,"26-35",IF(E326&lt;=45,"36-45",IF(E326&lt;=55,"46-55","56-65")))))</f>
        <v>26-35</v>
      </c>
      <c r="P326" s="35" t="n">
        <f aca="false">COUNTIF($C$2:$C$1001,C326)</f>
        <v>1</v>
      </c>
      <c r="Q326" s="35" t="n">
        <f aca="false">IF(COUNTIF($C$2:C326,C326)=1,1,0)</f>
        <v>1</v>
      </c>
    </row>
    <row r="327" customFormat="false" ht="15" hidden="false" customHeight="false" outlineLevel="0" collapsed="false">
      <c r="A327" s="35" t="s">
        <v>1140</v>
      </c>
      <c r="B327" s="64" t="n">
        <v>45746</v>
      </c>
      <c r="C327" s="35" t="s">
        <v>1141</v>
      </c>
      <c r="D327" s="35" t="s">
        <v>827</v>
      </c>
      <c r="E327" s="35" t="n">
        <v>47</v>
      </c>
      <c r="F327" s="35" t="s">
        <v>234</v>
      </c>
      <c r="G327" s="35" t="s">
        <v>223</v>
      </c>
      <c r="H327" s="35" t="s">
        <v>211</v>
      </c>
      <c r="I327" s="35" t="s">
        <v>202</v>
      </c>
      <c r="J327" s="35" t="n">
        <v>5</v>
      </c>
      <c r="K327" s="65" t="n">
        <v>27900.36</v>
      </c>
      <c r="L327" s="65" t="n">
        <v>139501.8</v>
      </c>
      <c r="M327" s="66" t="n">
        <f aca="false">DATE(YEAR(B327),MONTH(B327),1)</f>
        <v>45717</v>
      </c>
      <c r="N327" s="35" t="str">
        <f aca="false">IF(G327="","Unknown",G327)</f>
        <v>Gaya</v>
      </c>
      <c r="O327" s="35" t="str">
        <f aca="false">IF(E327="","Unknown",IF(E327&lt;=25,"18-25",IF(E327&lt;=35,"26-35",IF(E327&lt;=45,"36-45",IF(E327&lt;=55,"46-55","56-65")))))</f>
        <v>46-55</v>
      </c>
      <c r="P327" s="35" t="n">
        <f aca="false">COUNTIF($C$2:$C$1001,C327)</f>
        <v>1</v>
      </c>
      <c r="Q327" s="35" t="n">
        <f aca="false">IF(COUNTIF($C$2:C327,C327)=1,1,0)</f>
        <v>1</v>
      </c>
    </row>
    <row r="328" customFormat="false" ht="15" hidden="false" customHeight="false" outlineLevel="0" collapsed="false">
      <c r="A328" s="35" t="s">
        <v>1142</v>
      </c>
      <c r="B328" s="64" t="n">
        <v>45783</v>
      </c>
      <c r="C328" s="35" t="s">
        <v>1143</v>
      </c>
      <c r="D328" s="35" t="s">
        <v>1144</v>
      </c>
      <c r="E328" s="35" t="n">
        <v>65</v>
      </c>
      <c r="F328" s="35" t="s">
        <v>235</v>
      </c>
      <c r="G328" s="35" t="s">
        <v>218</v>
      </c>
      <c r="H328" s="35" t="s">
        <v>211</v>
      </c>
      <c r="I328" s="35" t="s">
        <v>202</v>
      </c>
      <c r="J328" s="35" t="n">
        <v>10</v>
      </c>
      <c r="K328" s="65" t="n">
        <v>31855.44</v>
      </c>
      <c r="L328" s="65" t="n">
        <v>318554.4</v>
      </c>
      <c r="M328" s="66" t="n">
        <f aca="false">DATE(YEAR(B328),MONTH(B328),1)</f>
        <v>45778</v>
      </c>
      <c r="N328" s="35" t="str">
        <f aca="false">IF(G328="","Unknown",G328)</f>
        <v>Bengaluru</v>
      </c>
      <c r="O328" s="35" t="str">
        <f aca="false">IF(E328="","Unknown",IF(E328&lt;=25,"18-25",IF(E328&lt;=35,"26-35",IF(E328&lt;=45,"36-45",IF(E328&lt;=55,"46-55","56-65")))))</f>
        <v>56-65</v>
      </c>
      <c r="P328" s="35" t="n">
        <f aca="false">COUNTIF($C$2:$C$1001,C328)</f>
        <v>1</v>
      </c>
      <c r="Q328" s="35" t="n">
        <f aca="false">IF(COUNTIF($C$2:C328,C328)=1,1,0)</f>
        <v>1</v>
      </c>
    </row>
    <row r="329" customFormat="false" ht="15" hidden="false" customHeight="false" outlineLevel="0" collapsed="false">
      <c r="A329" s="35" t="s">
        <v>1145</v>
      </c>
      <c r="B329" s="64" t="n">
        <v>45759</v>
      </c>
      <c r="C329" s="35" t="s">
        <v>1146</v>
      </c>
      <c r="D329" s="35" t="s">
        <v>1147</v>
      </c>
      <c r="E329" s="35" t="n">
        <v>48</v>
      </c>
      <c r="F329" s="35" t="s">
        <v>234</v>
      </c>
      <c r="G329" s="35" t="s">
        <v>216</v>
      </c>
      <c r="H329" s="35" t="s">
        <v>210</v>
      </c>
      <c r="I329" s="35" t="s">
        <v>201</v>
      </c>
      <c r="J329" s="35" t="n">
        <v>9</v>
      </c>
      <c r="K329" s="65" t="n">
        <v>45988.02</v>
      </c>
      <c r="L329" s="65" t="n">
        <v>413892.18</v>
      </c>
      <c r="M329" s="66" t="n">
        <f aca="false">DATE(YEAR(B329),MONTH(B329),1)</f>
        <v>45748</v>
      </c>
      <c r="N329" s="35" t="str">
        <f aca="false">IF(G329="","Unknown",G329)</f>
        <v>Patna</v>
      </c>
      <c r="O329" s="35" t="str">
        <f aca="false">IF(E329="","Unknown",IF(E329&lt;=25,"18-25",IF(E329&lt;=35,"26-35",IF(E329&lt;=45,"36-45",IF(E329&lt;=55,"46-55","56-65")))))</f>
        <v>46-55</v>
      </c>
      <c r="P329" s="35" t="n">
        <f aca="false">COUNTIF($C$2:$C$1001,C329)</f>
        <v>2</v>
      </c>
      <c r="Q329" s="35" t="n">
        <f aca="false">IF(COUNTIF($C$2:C329,C329)=1,1,0)</f>
        <v>1</v>
      </c>
    </row>
    <row r="330" customFormat="false" ht="15" hidden="false" customHeight="false" outlineLevel="0" collapsed="false">
      <c r="A330" s="35" t="s">
        <v>1148</v>
      </c>
      <c r="B330" s="64" t="n">
        <v>45944</v>
      </c>
      <c r="C330" s="35" t="s">
        <v>1149</v>
      </c>
      <c r="D330" s="35" t="s">
        <v>1150</v>
      </c>
      <c r="E330" s="35" t="n">
        <v>62</v>
      </c>
      <c r="F330" s="35" t="s">
        <v>235</v>
      </c>
      <c r="G330" s="35" t="s">
        <v>221</v>
      </c>
      <c r="H330" s="35" t="s">
        <v>213</v>
      </c>
      <c r="I330" s="35" t="s">
        <v>204</v>
      </c>
      <c r="J330" s="35" t="n">
        <v>7</v>
      </c>
      <c r="K330" s="65" t="n">
        <v>19261.81</v>
      </c>
      <c r="L330" s="65" t="n">
        <v>134832.67</v>
      </c>
      <c r="M330" s="66" t="n">
        <f aca="false">DATE(YEAR(B330),MONTH(B330),1)</f>
        <v>45931</v>
      </c>
      <c r="N330" s="35" t="str">
        <f aca="false">IF(G330="","Unknown",G330)</f>
        <v>Delhi</v>
      </c>
      <c r="O330" s="35" t="str">
        <f aca="false">IF(E330="","Unknown",IF(E330&lt;=25,"18-25",IF(E330&lt;=35,"26-35",IF(E330&lt;=45,"36-45",IF(E330&lt;=55,"46-55","56-65")))))</f>
        <v>56-65</v>
      </c>
      <c r="P330" s="35" t="n">
        <f aca="false">COUNTIF($C$2:$C$1001,C330)</f>
        <v>1</v>
      </c>
      <c r="Q330" s="35" t="n">
        <f aca="false">IF(COUNTIF($C$2:C330,C330)=1,1,0)</f>
        <v>1</v>
      </c>
    </row>
    <row r="331" customFormat="false" ht="15" hidden="false" customHeight="false" outlineLevel="0" collapsed="false">
      <c r="A331" s="35" t="s">
        <v>1151</v>
      </c>
      <c r="B331" s="64" t="n">
        <v>45775</v>
      </c>
      <c r="C331" s="35" t="s">
        <v>1152</v>
      </c>
      <c r="D331" s="35" t="s">
        <v>1153</v>
      </c>
      <c r="E331" s="35" t="n">
        <v>55</v>
      </c>
      <c r="F331" s="35" t="s">
        <v>234</v>
      </c>
      <c r="G331" s="35" t="s">
        <v>216</v>
      </c>
      <c r="H331" s="35" t="s">
        <v>208</v>
      </c>
      <c r="I331" s="35" t="s">
        <v>200</v>
      </c>
      <c r="J331" s="35" t="n">
        <v>8</v>
      </c>
      <c r="K331" s="65" t="n">
        <v>22233.15</v>
      </c>
      <c r="L331" s="65" t="n">
        <v>177865.2</v>
      </c>
      <c r="M331" s="66" t="n">
        <f aca="false">DATE(YEAR(B331),MONTH(B331),1)</f>
        <v>45748</v>
      </c>
      <c r="N331" s="35" t="str">
        <f aca="false">IF(G331="","Unknown",G331)</f>
        <v>Patna</v>
      </c>
      <c r="O331" s="35" t="str">
        <f aca="false">IF(E331="","Unknown",IF(E331&lt;=25,"18-25",IF(E331&lt;=35,"26-35",IF(E331&lt;=45,"36-45",IF(E331&lt;=55,"46-55","56-65")))))</f>
        <v>46-55</v>
      </c>
      <c r="P331" s="35" t="n">
        <f aca="false">COUNTIF($C$2:$C$1001,C331)</f>
        <v>2</v>
      </c>
      <c r="Q331" s="35" t="n">
        <f aca="false">IF(COUNTIF($C$2:C331,C331)=1,1,0)</f>
        <v>1</v>
      </c>
    </row>
    <row r="332" customFormat="false" ht="15" hidden="false" customHeight="false" outlineLevel="0" collapsed="false">
      <c r="A332" s="35" t="s">
        <v>1154</v>
      </c>
      <c r="B332" s="64" t="n">
        <v>45691</v>
      </c>
      <c r="C332" s="35" t="s">
        <v>1155</v>
      </c>
      <c r="D332" s="35" t="s">
        <v>260</v>
      </c>
      <c r="E332" s="35" t="n">
        <v>44</v>
      </c>
      <c r="F332" s="35" t="s">
        <v>234</v>
      </c>
      <c r="G332" s="35" t="s">
        <v>217</v>
      </c>
      <c r="H332" s="35" t="s">
        <v>213</v>
      </c>
      <c r="I332" s="35" t="s">
        <v>204</v>
      </c>
      <c r="J332" s="35" t="n">
        <v>4</v>
      </c>
      <c r="K332" s="65" t="n">
        <v>2247.11</v>
      </c>
      <c r="L332" s="65" t="n">
        <v>8988.44</v>
      </c>
      <c r="M332" s="66" t="n">
        <f aca="false">DATE(YEAR(B332),MONTH(B332),1)</f>
        <v>45689</v>
      </c>
      <c r="N332" s="35" t="str">
        <f aca="false">IF(G332="","Unknown",G332)</f>
        <v>Kolkata</v>
      </c>
      <c r="O332" s="35" t="str">
        <f aca="false">IF(E332="","Unknown",IF(E332&lt;=25,"18-25",IF(E332&lt;=35,"26-35",IF(E332&lt;=45,"36-45",IF(E332&lt;=55,"46-55","56-65")))))</f>
        <v>36-45</v>
      </c>
      <c r="P332" s="35" t="n">
        <f aca="false">COUNTIF($C$2:$C$1001,C332)</f>
        <v>2</v>
      </c>
      <c r="Q332" s="35" t="n">
        <f aca="false">IF(COUNTIF($C$2:C332,C332)=1,1,0)</f>
        <v>1</v>
      </c>
    </row>
    <row r="333" customFormat="false" ht="15" hidden="false" customHeight="false" outlineLevel="0" collapsed="false">
      <c r="A333" s="35" t="s">
        <v>1156</v>
      </c>
      <c r="B333" s="64" t="n">
        <v>45861</v>
      </c>
      <c r="C333" s="35" t="s">
        <v>1157</v>
      </c>
      <c r="D333" s="35" t="s">
        <v>815</v>
      </c>
      <c r="E333" s="35" t="n">
        <v>41</v>
      </c>
      <c r="F333" s="35" t="s">
        <v>235</v>
      </c>
      <c r="G333" s="35" t="s">
        <v>222</v>
      </c>
      <c r="H333" s="35" t="s">
        <v>212</v>
      </c>
      <c r="I333" s="35" t="s">
        <v>203</v>
      </c>
      <c r="J333" s="35" t="n">
        <v>6</v>
      </c>
      <c r="K333" s="65" t="n">
        <v>27965.93</v>
      </c>
      <c r="L333" s="65" t="n">
        <v>167795.58</v>
      </c>
      <c r="M333" s="66" t="n">
        <f aca="false">DATE(YEAR(B333),MONTH(B333),1)</f>
        <v>45839</v>
      </c>
      <c r="N333" s="35" t="str">
        <f aca="false">IF(G333="","Unknown",G333)</f>
        <v>Pune</v>
      </c>
      <c r="O333" s="35" t="str">
        <f aca="false">IF(E333="","Unknown",IF(E333&lt;=25,"18-25",IF(E333&lt;=35,"26-35",IF(E333&lt;=45,"36-45",IF(E333&lt;=55,"46-55","56-65")))))</f>
        <v>36-45</v>
      </c>
      <c r="P333" s="35" t="n">
        <f aca="false">COUNTIF($C$2:$C$1001,C333)</f>
        <v>2</v>
      </c>
      <c r="Q333" s="35" t="n">
        <f aca="false">IF(COUNTIF($C$2:C333,C333)=1,1,0)</f>
        <v>1</v>
      </c>
    </row>
    <row r="334" customFormat="false" ht="15" hidden="false" customHeight="false" outlineLevel="0" collapsed="false">
      <c r="A334" s="35" t="s">
        <v>1158</v>
      </c>
      <c r="B334" s="64" t="n">
        <v>45686</v>
      </c>
      <c r="C334" s="35" t="s">
        <v>1159</v>
      </c>
      <c r="D334" s="35" t="s">
        <v>439</v>
      </c>
      <c r="E334" s="35" t="n">
        <v>29</v>
      </c>
      <c r="F334" s="35" t="s">
        <v>234</v>
      </c>
      <c r="G334" s="35" t="s">
        <v>219</v>
      </c>
      <c r="H334" s="35" t="s">
        <v>212</v>
      </c>
      <c r="I334" s="35" t="s">
        <v>203</v>
      </c>
      <c r="J334" s="35" t="n">
        <v>5</v>
      </c>
      <c r="K334" s="65" t="n">
        <v>13013.63</v>
      </c>
      <c r="L334" s="65" t="n">
        <v>65068.15</v>
      </c>
      <c r="M334" s="66" t="n">
        <f aca="false">DATE(YEAR(B334),MONTH(B334),1)</f>
        <v>45658</v>
      </c>
      <c r="N334" s="35" t="str">
        <f aca="false">IF(G334="","Unknown",G334)</f>
        <v>Mumbai</v>
      </c>
      <c r="O334" s="35" t="str">
        <f aca="false">IF(E334="","Unknown",IF(E334&lt;=25,"18-25",IF(E334&lt;=35,"26-35",IF(E334&lt;=45,"36-45",IF(E334&lt;=55,"46-55","56-65")))))</f>
        <v>26-35</v>
      </c>
      <c r="P334" s="35" t="n">
        <f aca="false">COUNTIF($C$2:$C$1001,C334)</f>
        <v>1</v>
      </c>
      <c r="Q334" s="35" t="n">
        <f aca="false">IF(COUNTIF($C$2:C334,C334)=1,1,0)</f>
        <v>1</v>
      </c>
    </row>
    <row r="335" customFormat="false" ht="15" hidden="false" customHeight="false" outlineLevel="0" collapsed="false">
      <c r="A335" s="35" t="s">
        <v>1160</v>
      </c>
      <c r="B335" s="64" t="n">
        <v>45946</v>
      </c>
      <c r="C335" s="35" t="s">
        <v>1161</v>
      </c>
      <c r="D335" s="35" t="s">
        <v>1162</v>
      </c>
      <c r="E335" s="35" t="n">
        <v>28</v>
      </c>
      <c r="F335" s="35" t="s">
        <v>235</v>
      </c>
      <c r="G335" s="35" t="s">
        <v>217</v>
      </c>
      <c r="H335" s="35" t="s">
        <v>211</v>
      </c>
      <c r="I335" s="35" t="s">
        <v>202</v>
      </c>
      <c r="J335" s="35" t="n">
        <v>2</v>
      </c>
      <c r="K335" s="65" t="n">
        <v>31943.19</v>
      </c>
      <c r="L335" s="65" t="n">
        <v>63886.38</v>
      </c>
      <c r="M335" s="66" t="n">
        <f aca="false">DATE(YEAR(B335),MONTH(B335),1)</f>
        <v>45931</v>
      </c>
      <c r="N335" s="35" t="str">
        <f aca="false">IF(G335="","Unknown",G335)</f>
        <v>Kolkata</v>
      </c>
      <c r="O335" s="35" t="str">
        <f aca="false">IF(E335="","Unknown",IF(E335&lt;=25,"18-25",IF(E335&lt;=35,"26-35",IF(E335&lt;=45,"36-45",IF(E335&lt;=55,"46-55","56-65")))))</f>
        <v>26-35</v>
      </c>
      <c r="P335" s="35" t="n">
        <f aca="false">COUNTIF($C$2:$C$1001,C335)</f>
        <v>1</v>
      </c>
      <c r="Q335" s="35" t="n">
        <f aca="false">IF(COUNTIF($C$2:C335,C335)=1,1,0)</f>
        <v>1</v>
      </c>
    </row>
    <row r="336" customFormat="false" ht="15" hidden="false" customHeight="false" outlineLevel="0" collapsed="false">
      <c r="A336" s="35" t="s">
        <v>1163</v>
      </c>
      <c r="B336" s="64" t="n">
        <v>45712</v>
      </c>
      <c r="C336" s="35" t="s">
        <v>1164</v>
      </c>
      <c r="D336" s="35" t="s">
        <v>988</v>
      </c>
      <c r="E336" s="35" t="n">
        <v>35</v>
      </c>
      <c r="F336" s="35" t="s">
        <v>234</v>
      </c>
      <c r="G336" s="35" t="s">
        <v>219</v>
      </c>
      <c r="H336" s="35" t="s">
        <v>208</v>
      </c>
      <c r="I336" s="35" t="s">
        <v>200</v>
      </c>
      <c r="J336" s="35" t="n">
        <v>5</v>
      </c>
      <c r="K336" s="65" t="n">
        <v>26823.14</v>
      </c>
      <c r="L336" s="65" t="n">
        <v>134115.7</v>
      </c>
      <c r="M336" s="66" t="n">
        <f aca="false">DATE(YEAR(B336),MONTH(B336),1)</f>
        <v>45689</v>
      </c>
      <c r="N336" s="35" t="str">
        <f aca="false">IF(G336="","Unknown",G336)</f>
        <v>Mumbai</v>
      </c>
      <c r="O336" s="35" t="str">
        <f aca="false">IF(E336="","Unknown",IF(E336&lt;=25,"18-25",IF(E336&lt;=35,"26-35",IF(E336&lt;=45,"36-45",IF(E336&lt;=55,"46-55","56-65")))))</f>
        <v>26-35</v>
      </c>
      <c r="P336" s="35" t="n">
        <f aca="false">COUNTIF($C$2:$C$1001,C336)</f>
        <v>1</v>
      </c>
      <c r="Q336" s="35" t="n">
        <f aca="false">IF(COUNTIF($C$2:C336,C336)=1,1,0)</f>
        <v>1</v>
      </c>
    </row>
    <row r="337" customFormat="false" ht="15" hidden="false" customHeight="false" outlineLevel="0" collapsed="false">
      <c r="A337" s="35" t="s">
        <v>1165</v>
      </c>
      <c r="B337" s="64" t="n">
        <v>45996</v>
      </c>
      <c r="C337" s="35" t="s">
        <v>1166</v>
      </c>
      <c r="D337" s="35" t="s">
        <v>1167</v>
      </c>
      <c r="E337" s="35" t="n">
        <v>57</v>
      </c>
      <c r="F337" s="35" t="s">
        <v>234</v>
      </c>
      <c r="G337" s="35" t="s">
        <v>222</v>
      </c>
      <c r="H337" s="35" t="s">
        <v>213</v>
      </c>
      <c r="I337" s="35" t="s">
        <v>204</v>
      </c>
      <c r="J337" s="35" t="n">
        <v>10</v>
      </c>
      <c r="K337" s="65" t="n">
        <v>11637.38</v>
      </c>
      <c r="L337" s="65" t="n">
        <v>116373.8</v>
      </c>
      <c r="M337" s="66" t="n">
        <f aca="false">DATE(YEAR(B337),MONTH(B337),1)</f>
        <v>45992</v>
      </c>
      <c r="N337" s="35" t="str">
        <f aca="false">IF(G337="","Unknown",G337)</f>
        <v>Pune</v>
      </c>
      <c r="O337" s="35" t="str">
        <f aca="false">IF(E337="","Unknown",IF(E337&lt;=25,"18-25",IF(E337&lt;=35,"26-35",IF(E337&lt;=45,"36-45",IF(E337&lt;=55,"46-55","56-65")))))</f>
        <v>56-65</v>
      </c>
      <c r="P337" s="35" t="n">
        <f aca="false">COUNTIF($C$2:$C$1001,C337)</f>
        <v>1</v>
      </c>
      <c r="Q337" s="35" t="n">
        <f aca="false">IF(COUNTIF($C$2:C337,C337)=1,1,0)</f>
        <v>1</v>
      </c>
    </row>
    <row r="338" customFormat="false" ht="15" hidden="false" customHeight="false" outlineLevel="0" collapsed="false">
      <c r="A338" s="35" t="s">
        <v>1168</v>
      </c>
      <c r="B338" s="64" t="n">
        <v>45921</v>
      </c>
      <c r="C338" s="35" t="s">
        <v>1169</v>
      </c>
      <c r="D338" s="35" t="s">
        <v>1170</v>
      </c>
      <c r="E338" s="35" t="n">
        <v>53</v>
      </c>
      <c r="F338" s="35" t="s">
        <v>235</v>
      </c>
      <c r="G338" s="35" t="s">
        <v>221</v>
      </c>
      <c r="H338" s="35" t="s">
        <v>212</v>
      </c>
      <c r="I338" s="35" t="s">
        <v>203</v>
      </c>
      <c r="J338" s="35" t="n">
        <v>5</v>
      </c>
      <c r="K338" s="65" t="n">
        <v>38518.95</v>
      </c>
      <c r="L338" s="65" t="n">
        <v>192594.75</v>
      </c>
      <c r="M338" s="66" t="n">
        <f aca="false">DATE(YEAR(B338),MONTH(B338),1)</f>
        <v>45901</v>
      </c>
      <c r="N338" s="35" t="str">
        <f aca="false">IF(G338="","Unknown",G338)</f>
        <v>Delhi</v>
      </c>
      <c r="O338" s="35" t="str">
        <f aca="false">IF(E338="","Unknown",IF(E338&lt;=25,"18-25",IF(E338&lt;=35,"26-35",IF(E338&lt;=45,"36-45",IF(E338&lt;=55,"46-55","56-65")))))</f>
        <v>46-55</v>
      </c>
      <c r="P338" s="35" t="n">
        <f aca="false">COUNTIF($C$2:$C$1001,C338)</f>
        <v>1</v>
      </c>
      <c r="Q338" s="35" t="n">
        <f aca="false">IF(COUNTIF($C$2:C338,C338)=1,1,0)</f>
        <v>1</v>
      </c>
    </row>
    <row r="339" customFormat="false" ht="15" hidden="false" customHeight="false" outlineLevel="0" collapsed="false">
      <c r="A339" s="35" t="s">
        <v>1171</v>
      </c>
      <c r="B339" s="64" t="n">
        <v>45718</v>
      </c>
      <c r="C339" s="35" t="s">
        <v>1172</v>
      </c>
      <c r="D339" s="35" t="s">
        <v>1173</v>
      </c>
      <c r="E339" s="35" t="n">
        <v>65</v>
      </c>
      <c r="F339" s="35" t="s">
        <v>234</v>
      </c>
      <c r="G339" s="35" t="s">
        <v>219</v>
      </c>
      <c r="H339" s="35" t="s">
        <v>208</v>
      </c>
      <c r="I339" s="35" t="s">
        <v>200</v>
      </c>
      <c r="J339" s="35" t="n">
        <v>6</v>
      </c>
      <c r="K339" s="65" t="n">
        <v>25123.86</v>
      </c>
      <c r="L339" s="65" t="n">
        <v>150743.16</v>
      </c>
      <c r="M339" s="66" t="n">
        <f aca="false">DATE(YEAR(B339),MONTH(B339),1)</f>
        <v>45717</v>
      </c>
      <c r="N339" s="35" t="str">
        <f aca="false">IF(G339="","Unknown",G339)</f>
        <v>Mumbai</v>
      </c>
      <c r="O339" s="35" t="str">
        <f aca="false">IF(E339="","Unknown",IF(E339&lt;=25,"18-25",IF(E339&lt;=35,"26-35",IF(E339&lt;=45,"36-45",IF(E339&lt;=55,"46-55","56-65")))))</f>
        <v>56-65</v>
      </c>
      <c r="P339" s="35" t="n">
        <f aca="false">COUNTIF($C$2:$C$1001,C339)</f>
        <v>1</v>
      </c>
      <c r="Q339" s="35" t="n">
        <f aca="false">IF(COUNTIF($C$2:C339,C339)=1,1,0)</f>
        <v>1</v>
      </c>
    </row>
    <row r="340" customFormat="false" ht="15" hidden="false" customHeight="false" outlineLevel="0" collapsed="false">
      <c r="A340" s="35" t="s">
        <v>1174</v>
      </c>
      <c r="B340" s="64" t="n">
        <v>45958</v>
      </c>
      <c r="C340" s="35" t="s">
        <v>1175</v>
      </c>
      <c r="D340" s="35" t="s">
        <v>272</v>
      </c>
      <c r="E340" s="35" t="n">
        <v>47</v>
      </c>
      <c r="F340" s="35" t="s">
        <v>235</v>
      </c>
      <c r="G340" s="35" t="s">
        <v>222</v>
      </c>
      <c r="H340" s="35" t="s">
        <v>209</v>
      </c>
      <c r="I340" s="35" t="s">
        <v>200</v>
      </c>
      <c r="J340" s="35" t="n">
        <v>9</v>
      </c>
      <c r="K340" s="65" t="n">
        <v>47289.86</v>
      </c>
      <c r="L340" s="65" t="n">
        <v>425608.74</v>
      </c>
      <c r="M340" s="66" t="n">
        <f aca="false">DATE(YEAR(B340),MONTH(B340),1)</f>
        <v>45931</v>
      </c>
      <c r="N340" s="35" t="str">
        <f aca="false">IF(G340="","Unknown",G340)</f>
        <v>Pune</v>
      </c>
      <c r="O340" s="35" t="str">
        <f aca="false">IF(E340="","Unknown",IF(E340&lt;=25,"18-25",IF(E340&lt;=35,"26-35",IF(E340&lt;=45,"36-45",IF(E340&lt;=55,"46-55","56-65")))))</f>
        <v>46-55</v>
      </c>
      <c r="P340" s="35" t="n">
        <f aca="false">COUNTIF($C$2:$C$1001,C340)</f>
        <v>1</v>
      </c>
      <c r="Q340" s="35" t="n">
        <f aca="false">IF(COUNTIF($C$2:C340,C340)=1,1,0)</f>
        <v>1</v>
      </c>
    </row>
    <row r="341" customFormat="false" ht="15" hidden="false" customHeight="false" outlineLevel="0" collapsed="false">
      <c r="A341" s="35" t="s">
        <v>1176</v>
      </c>
      <c r="B341" s="64" t="n">
        <v>45701</v>
      </c>
      <c r="C341" s="35" t="s">
        <v>1177</v>
      </c>
      <c r="D341" s="35" t="s">
        <v>744</v>
      </c>
      <c r="E341" s="35" t="n">
        <v>52</v>
      </c>
      <c r="F341" s="35" t="s">
        <v>235</v>
      </c>
      <c r="G341" s="35" t="s">
        <v>218</v>
      </c>
      <c r="H341" s="35" t="s">
        <v>210</v>
      </c>
      <c r="I341" s="35" t="s">
        <v>201</v>
      </c>
      <c r="J341" s="35" t="n">
        <v>4</v>
      </c>
      <c r="K341" s="65" t="n">
        <v>18655.09</v>
      </c>
      <c r="L341" s="65" t="n">
        <v>74620.36</v>
      </c>
      <c r="M341" s="66" t="n">
        <f aca="false">DATE(YEAR(B341),MONTH(B341),1)</f>
        <v>45689</v>
      </c>
      <c r="N341" s="35" t="str">
        <f aca="false">IF(G341="","Unknown",G341)</f>
        <v>Bengaluru</v>
      </c>
      <c r="O341" s="35" t="str">
        <f aca="false">IF(E341="","Unknown",IF(E341&lt;=25,"18-25",IF(E341&lt;=35,"26-35",IF(E341&lt;=45,"36-45",IF(E341&lt;=55,"46-55","56-65")))))</f>
        <v>46-55</v>
      </c>
      <c r="P341" s="35" t="n">
        <f aca="false">COUNTIF($C$2:$C$1001,C341)</f>
        <v>1</v>
      </c>
      <c r="Q341" s="35" t="n">
        <f aca="false">IF(COUNTIF($C$2:C341,C341)=1,1,0)</f>
        <v>1</v>
      </c>
    </row>
    <row r="342" customFormat="false" ht="15" hidden="false" customHeight="false" outlineLevel="0" collapsed="false">
      <c r="A342" s="35" t="s">
        <v>1178</v>
      </c>
      <c r="B342" s="64" t="n">
        <v>45685</v>
      </c>
      <c r="C342" s="35" t="s">
        <v>1179</v>
      </c>
      <c r="D342" s="35" t="s">
        <v>747</v>
      </c>
      <c r="E342" s="35" t="n">
        <v>47</v>
      </c>
      <c r="F342" s="35" t="s">
        <v>234</v>
      </c>
      <c r="G342" s="35" t="s">
        <v>219</v>
      </c>
      <c r="H342" s="35" t="s">
        <v>210</v>
      </c>
      <c r="I342" s="35" t="s">
        <v>201</v>
      </c>
      <c r="J342" s="35" t="n">
        <v>3</v>
      </c>
      <c r="K342" s="65" t="n">
        <v>45718.65</v>
      </c>
      <c r="L342" s="65" t="n">
        <v>137155.95</v>
      </c>
      <c r="M342" s="66" t="n">
        <f aca="false">DATE(YEAR(B342),MONTH(B342),1)</f>
        <v>45658</v>
      </c>
      <c r="N342" s="35" t="str">
        <f aca="false">IF(G342="","Unknown",G342)</f>
        <v>Mumbai</v>
      </c>
      <c r="O342" s="35" t="str">
        <f aca="false">IF(E342="","Unknown",IF(E342&lt;=25,"18-25",IF(E342&lt;=35,"26-35",IF(E342&lt;=45,"36-45",IF(E342&lt;=55,"46-55","56-65")))))</f>
        <v>46-55</v>
      </c>
      <c r="P342" s="35" t="n">
        <f aca="false">COUNTIF($C$2:$C$1001,C342)</f>
        <v>1</v>
      </c>
      <c r="Q342" s="35" t="n">
        <f aca="false">IF(COUNTIF($C$2:C342,C342)=1,1,0)</f>
        <v>1</v>
      </c>
    </row>
    <row r="343" customFormat="false" ht="15" hidden="false" customHeight="false" outlineLevel="0" collapsed="false">
      <c r="A343" s="35" t="s">
        <v>1180</v>
      </c>
      <c r="B343" s="64" t="n">
        <v>45959</v>
      </c>
      <c r="C343" s="35" t="s">
        <v>1181</v>
      </c>
      <c r="D343" s="35" t="s">
        <v>686</v>
      </c>
      <c r="E343" s="35" t="n">
        <v>50</v>
      </c>
      <c r="F343" s="35" t="s">
        <v>235</v>
      </c>
      <c r="G343" s="35" t="s">
        <v>222</v>
      </c>
      <c r="H343" s="35" t="s">
        <v>211</v>
      </c>
      <c r="I343" s="35" t="s">
        <v>202</v>
      </c>
      <c r="J343" s="35" t="n">
        <v>10</v>
      </c>
      <c r="K343" s="65" t="n">
        <v>21580.33</v>
      </c>
      <c r="L343" s="65" t="n">
        <v>215803.3</v>
      </c>
      <c r="M343" s="66" t="n">
        <f aca="false">DATE(YEAR(B343),MONTH(B343),1)</f>
        <v>45931</v>
      </c>
      <c r="N343" s="35" t="str">
        <f aca="false">IF(G343="","Unknown",G343)</f>
        <v>Pune</v>
      </c>
      <c r="O343" s="35" t="str">
        <f aca="false">IF(E343="","Unknown",IF(E343&lt;=25,"18-25",IF(E343&lt;=35,"26-35",IF(E343&lt;=45,"36-45",IF(E343&lt;=55,"46-55","56-65")))))</f>
        <v>46-55</v>
      </c>
      <c r="P343" s="35" t="n">
        <f aca="false">COUNTIF($C$2:$C$1001,C343)</f>
        <v>1</v>
      </c>
      <c r="Q343" s="35" t="n">
        <f aca="false">IF(COUNTIF($C$2:C343,C343)=1,1,0)</f>
        <v>1</v>
      </c>
    </row>
    <row r="344" customFormat="false" ht="15" hidden="false" customHeight="false" outlineLevel="0" collapsed="false">
      <c r="A344" s="35" t="s">
        <v>1182</v>
      </c>
      <c r="B344" s="64" t="n">
        <v>46009</v>
      </c>
      <c r="C344" s="35" t="s">
        <v>1183</v>
      </c>
      <c r="D344" s="35" t="s">
        <v>648</v>
      </c>
      <c r="E344" s="35" t="n">
        <v>31</v>
      </c>
      <c r="F344" s="35" t="s">
        <v>235</v>
      </c>
      <c r="G344" s="35" t="s">
        <v>216</v>
      </c>
      <c r="H344" s="35" t="s">
        <v>213</v>
      </c>
      <c r="I344" s="35" t="s">
        <v>204</v>
      </c>
      <c r="J344" s="35" t="n">
        <v>5</v>
      </c>
      <c r="K344" s="65" t="n">
        <v>10932.32</v>
      </c>
      <c r="L344" s="65" t="n">
        <v>54661.6</v>
      </c>
      <c r="M344" s="66" t="n">
        <f aca="false">DATE(YEAR(B344),MONTH(B344),1)</f>
        <v>45992</v>
      </c>
      <c r="N344" s="35" t="str">
        <f aca="false">IF(G344="","Unknown",G344)</f>
        <v>Patna</v>
      </c>
      <c r="O344" s="35" t="str">
        <f aca="false">IF(E344="","Unknown",IF(E344&lt;=25,"18-25",IF(E344&lt;=35,"26-35",IF(E344&lt;=45,"36-45",IF(E344&lt;=55,"46-55","56-65")))))</f>
        <v>26-35</v>
      </c>
      <c r="P344" s="35" t="n">
        <f aca="false">COUNTIF($C$2:$C$1001,C344)</f>
        <v>2</v>
      </c>
      <c r="Q344" s="35" t="n">
        <f aca="false">IF(COUNTIF($C$2:C344,C344)=1,1,0)</f>
        <v>1</v>
      </c>
    </row>
    <row r="345" customFormat="false" ht="15" hidden="false" customHeight="false" outlineLevel="0" collapsed="false">
      <c r="A345" s="35" t="s">
        <v>1184</v>
      </c>
      <c r="B345" s="64" t="n">
        <v>45778</v>
      </c>
      <c r="C345" s="35" t="s">
        <v>1017</v>
      </c>
      <c r="D345" s="35" t="s">
        <v>1185</v>
      </c>
      <c r="E345" s="35" t="n">
        <v>56</v>
      </c>
      <c r="F345" s="35" t="s">
        <v>235</v>
      </c>
      <c r="G345" s="35" t="s">
        <v>223</v>
      </c>
      <c r="H345" s="35" t="s">
        <v>209</v>
      </c>
      <c r="I345" s="35" t="s">
        <v>200</v>
      </c>
      <c r="J345" s="35" t="n">
        <v>6</v>
      </c>
      <c r="K345" s="65" t="n">
        <v>12740.73</v>
      </c>
      <c r="L345" s="65" t="n">
        <v>76444.38</v>
      </c>
      <c r="M345" s="66" t="n">
        <f aca="false">DATE(YEAR(B345),MONTH(B345),1)</f>
        <v>45778</v>
      </c>
      <c r="N345" s="35" t="str">
        <f aca="false">IF(G345="","Unknown",G345)</f>
        <v>Gaya</v>
      </c>
      <c r="O345" s="35" t="str">
        <f aca="false">IF(E345="","Unknown",IF(E345&lt;=25,"18-25",IF(E345&lt;=35,"26-35",IF(E345&lt;=45,"36-45",IF(E345&lt;=55,"46-55","56-65")))))</f>
        <v>56-65</v>
      </c>
      <c r="P345" s="35" t="n">
        <f aca="false">COUNTIF($C$2:$C$1001,C345)</f>
        <v>2</v>
      </c>
      <c r="Q345" s="35" t="n">
        <f aca="false">IF(COUNTIF($C$2:C345,C345)=1,1,0)</f>
        <v>0</v>
      </c>
    </row>
    <row r="346" customFormat="false" ht="15" hidden="false" customHeight="false" outlineLevel="0" collapsed="false">
      <c r="A346" s="35" t="s">
        <v>1186</v>
      </c>
      <c r="B346" s="64" t="n">
        <v>45697</v>
      </c>
      <c r="C346" s="35" t="s">
        <v>1187</v>
      </c>
      <c r="D346" s="35" t="s">
        <v>305</v>
      </c>
      <c r="E346" s="35" t="n">
        <v>31</v>
      </c>
      <c r="F346" s="35" t="s">
        <v>234</v>
      </c>
      <c r="G346" s="35" t="s">
        <v>218</v>
      </c>
      <c r="H346" s="35" t="s">
        <v>211</v>
      </c>
      <c r="I346" s="35" t="s">
        <v>202</v>
      </c>
      <c r="J346" s="35" t="n">
        <v>9</v>
      </c>
      <c r="K346" s="65" t="n">
        <v>12137.54</v>
      </c>
      <c r="L346" s="65" t="n">
        <v>109237.86</v>
      </c>
      <c r="M346" s="66" t="n">
        <f aca="false">DATE(YEAR(B346),MONTH(B346),1)</f>
        <v>45689</v>
      </c>
      <c r="N346" s="35" t="str">
        <f aca="false">IF(G346="","Unknown",G346)</f>
        <v>Bengaluru</v>
      </c>
      <c r="O346" s="35" t="str">
        <f aca="false">IF(E346="","Unknown",IF(E346&lt;=25,"18-25",IF(E346&lt;=35,"26-35",IF(E346&lt;=45,"36-45",IF(E346&lt;=55,"46-55","56-65")))))</f>
        <v>26-35</v>
      </c>
      <c r="P346" s="35" t="n">
        <f aca="false">COUNTIF($C$2:$C$1001,C346)</f>
        <v>1</v>
      </c>
      <c r="Q346" s="35" t="n">
        <f aca="false">IF(COUNTIF($C$2:C346,C346)=1,1,0)</f>
        <v>1</v>
      </c>
    </row>
    <row r="347" customFormat="false" ht="15" hidden="false" customHeight="false" outlineLevel="0" collapsed="false">
      <c r="A347" s="35" t="s">
        <v>1188</v>
      </c>
      <c r="B347" s="64" t="n">
        <v>45704</v>
      </c>
      <c r="C347" s="35" t="s">
        <v>1189</v>
      </c>
      <c r="D347" s="35" t="s">
        <v>1190</v>
      </c>
      <c r="E347" s="35" t="n">
        <v>37</v>
      </c>
      <c r="F347" s="35" t="s">
        <v>234</v>
      </c>
      <c r="G347" s="35" t="s">
        <v>221</v>
      </c>
      <c r="H347" s="35" t="s">
        <v>213</v>
      </c>
      <c r="I347" s="35" t="s">
        <v>204</v>
      </c>
      <c r="J347" s="35" t="n">
        <v>1</v>
      </c>
      <c r="K347" s="65" t="n">
        <v>36943.51</v>
      </c>
      <c r="L347" s="65" t="n">
        <v>36943.51</v>
      </c>
      <c r="M347" s="66" t="n">
        <f aca="false">DATE(YEAR(B347),MONTH(B347),1)</f>
        <v>45689</v>
      </c>
      <c r="N347" s="35" t="str">
        <f aca="false">IF(G347="","Unknown",G347)</f>
        <v>Delhi</v>
      </c>
      <c r="O347" s="35" t="str">
        <f aca="false">IF(E347="","Unknown",IF(E347&lt;=25,"18-25",IF(E347&lt;=35,"26-35",IF(E347&lt;=45,"36-45",IF(E347&lt;=55,"46-55","56-65")))))</f>
        <v>36-45</v>
      </c>
      <c r="P347" s="35" t="n">
        <f aca="false">COUNTIF($C$2:$C$1001,C347)</f>
        <v>1</v>
      </c>
      <c r="Q347" s="35" t="n">
        <f aca="false">IF(COUNTIF($C$2:C347,C347)=1,1,0)</f>
        <v>1</v>
      </c>
    </row>
    <row r="348" customFormat="false" ht="15" hidden="false" customHeight="false" outlineLevel="0" collapsed="false">
      <c r="A348" s="35" t="s">
        <v>1191</v>
      </c>
      <c r="B348" s="64" t="n">
        <v>45854</v>
      </c>
      <c r="C348" s="35" t="s">
        <v>1192</v>
      </c>
      <c r="D348" s="35" t="s">
        <v>1193</v>
      </c>
      <c r="E348" s="35" t="n">
        <v>42</v>
      </c>
      <c r="F348" s="35" t="s">
        <v>234</v>
      </c>
      <c r="G348" s="35" t="s">
        <v>221</v>
      </c>
      <c r="H348" s="35" t="s">
        <v>211</v>
      </c>
      <c r="I348" s="35" t="s">
        <v>202</v>
      </c>
      <c r="J348" s="35" t="n">
        <v>2</v>
      </c>
      <c r="K348" s="65" t="n">
        <v>33566.2</v>
      </c>
      <c r="L348" s="65" t="n">
        <v>67132.4</v>
      </c>
      <c r="M348" s="66" t="n">
        <f aca="false">DATE(YEAR(B348),MONTH(B348),1)</f>
        <v>45839</v>
      </c>
      <c r="N348" s="35" t="str">
        <f aca="false">IF(G348="","Unknown",G348)</f>
        <v>Delhi</v>
      </c>
      <c r="O348" s="35" t="str">
        <f aca="false">IF(E348="","Unknown",IF(E348&lt;=25,"18-25",IF(E348&lt;=35,"26-35",IF(E348&lt;=45,"36-45",IF(E348&lt;=55,"46-55","56-65")))))</f>
        <v>36-45</v>
      </c>
      <c r="P348" s="35" t="n">
        <f aca="false">COUNTIF($C$2:$C$1001,C348)</f>
        <v>1</v>
      </c>
      <c r="Q348" s="35" t="n">
        <f aca="false">IF(COUNTIF($C$2:C348,C348)=1,1,0)</f>
        <v>1</v>
      </c>
    </row>
    <row r="349" customFormat="false" ht="15" hidden="false" customHeight="false" outlineLevel="0" collapsed="false">
      <c r="A349" s="35" t="s">
        <v>1194</v>
      </c>
      <c r="B349" s="64" t="n">
        <v>45743</v>
      </c>
      <c r="C349" s="35" t="s">
        <v>1195</v>
      </c>
      <c r="D349" s="35" t="s">
        <v>818</v>
      </c>
      <c r="E349" s="35" t="n">
        <v>38</v>
      </c>
      <c r="F349" s="35" t="s">
        <v>235</v>
      </c>
      <c r="G349" s="35" t="s">
        <v>218</v>
      </c>
      <c r="H349" s="35" t="s">
        <v>213</v>
      </c>
      <c r="I349" s="35" t="s">
        <v>204</v>
      </c>
      <c r="J349" s="35" t="n">
        <v>2</v>
      </c>
      <c r="K349" s="65" t="n">
        <v>32332.27</v>
      </c>
      <c r="L349" s="65" t="n">
        <v>64664.54</v>
      </c>
      <c r="M349" s="66" t="n">
        <f aca="false">DATE(YEAR(B349),MONTH(B349),1)</f>
        <v>45717</v>
      </c>
      <c r="N349" s="35" t="str">
        <f aca="false">IF(G349="","Unknown",G349)</f>
        <v>Bengaluru</v>
      </c>
      <c r="O349" s="35" t="str">
        <f aca="false">IF(E349="","Unknown",IF(E349&lt;=25,"18-25",IF(E349&lt;=35,"26-35",IF(E349&lt;=45,"36-45",IF(E349&lt;=55,"46-55","56-65")))))</f>
        <v>36-45</v>
      </c>
      <c r="P349" s="35" t="n">
        <f aca="false">COUNTIF($C$2:$C$1001,C349)</f>
        <v>1</v>
      </c>
      <c r="Q349" s="35" t="n">
        <f aca="false">IF(COUNTIF($C$2:C349,C349)=1,1,0)</f>
        <v>1</v>
      </c>
    </row>
    <row r="350" customFormat="false" ht="15" hidden="false" customHeight="false" outlineLevel="0" collapsed="false">
      <c r="A350" s="35" t="s">
        <v>1196</v>
      </c>
      <c r="B350" s="64" t="n">
        <v>45849</v>
      </c>
      <c r="C350" s="35" t="s">
        <v>1197</v>
      </c>
      <c r="D350" s="35" t="s">
        <v>379</v>
      </c>
      <c r="E350" s="35"/>
      <c r="F350" s="35" t="s">
        <v>234</v>
      </c>
      <c r="G350" s="35" t="s">
        <v>222</v>
      </c>
      <c r="H350" s="35" t="s">
        <v>208</v>
      </c>
      <c r="I350" s="35" t="s">
        <v>200</v>
      </c>
      <c r="J350" s="35" t="n">
        <v>8</v>
      </c>
      <c r="K350" s="65" t="n">
        <v>47254.7</v>
      </c>
      <c r="L350" s="65" t="n">
        <v>378037.6</v>
      </c>
      <c r="M350" s="66" t="n">
        <f aca="false">DATE(YEAR(B350),MONTH(B350),1)</f>
        <v>45839</v>
      </c>
      <c r="N350" s="35" t="str">
        <f aca="false">IF(G350="","Unknown",G350)</f>
        <v>Pune</v>
      </c>
      <c r="O350" s="35" t="str">
        <f aca="false">IF(E350="","Unknown",IF(E350&lt;=25,"18-25",IF(E350&lt;=35,"26-35",IF(E350&lt;=45,"36-45",IF(E350&lt;=55,"46-55","56-65")))))</f>
        <v>Unknown</v>
      </c>
      <c r="P350" s="35" t="n">
        <f aca="false">COUNTIF($C$2:$C$1001,C350)</f>
        <v>1</v>
      </c>
      <c r="Q350" s="35" t="n">
        <f aca="false">IF(COUNTIF($C$2:C350,C350)=1,1,0)</f>
        <v>1</v>
      </c>
    </row>
    <row r="351" customFormat="false" ht="15" hidden="false" customHeight="false" outlineLevel="0" collapsed="false">
      <c r="A351" s="35" t="s">
        <v>1198</v>
      </c>
      <c r="B351" s="64" t="n">
        <v>45742</v>
      </c>
      <c r="C351" s="35" t="s">
        <v>1199</v>
      </c>
      <c r="D351" s="35" t="s">
        <v>1102</v>
      </c>
      <c r="E351" s="35" t="n">
        <v>50</v>
      </c>
      <c r="F351" s="35" t="s">
        <v>234</v>
      </c>
      <c r="G351" s="35" t="s">
        <v>218</v>
      </c>
      <c r="H351" s="35" t="s">
        <v>212</v>
      </c>
      <c r="I351" s="35" t="s">
        <v>203</v>
      </c>
      <c r="J351" s="35" t="n">
        <v>3</v>
      </c>
      <c r="K351" s="65" t="n">
        <v>42538.14</v>
      </c>
      <c r="L351" s="65" t="n">
        <v>127614.42</v>
      </c>
      <c r="M351" s="66" t="n">
        <f aca="false">DATE(YEAR(B351),MONTH(B351),1)</f>
        <v>45717</v>
      </c>
      <c r="N351" s="35" t="str">
        <f aca="false">IF(G351="","Unknown",G351)</f>
        <v>Bengaluru</v>
      </c>
      <c r="O351" s="35" t="str">
        <f aca="false">IF(E351="","Unknown",IF(E351&lt;=25,"18-25",IF(E351&lt;=35,"26-35",IF(E351&lt;=45,"36-45",IF(E351&lt;=55,"46-55","56-65")))))</f>
        <v>46-55</v>
      </c>
      <c r="P351" s="35" t="n">
        <f aca="false">COUNTIF($C$2:$C$1001,C351)</f>
        <v>1</v>
      </c>
      <c r="Q351" s="35" t="n">
        <f aca="false">IF(COUNTIF($C$2:C351,C351)=1,1,0)</f>
        <v>1</v>
      </c>
    </row>
    <row r="352" customFormat="false" ht="15" hidden="false" customHeight="false" outlineLevel="0" collapsed="false">
      <c r="A352" s="35" t="s">
        <v>1200</v>
      </c>
      <c r="B352" s="64" t="n">
        <v>45712</v>
      </c>
      <c r="C352" s="35" t="s">
        <v>1201</v>
      </c>
      <c r="D352" s="35" t="s">
        <v>302</v>
      </c>
      <c r="E352" s="35" t="n">
        <v>37</v>
      </c>
      <c r="F352" s="35" t="s">
        <v>234</v>
      </c>
      <c r="G352" s="35" t="s">
        <v>219</v>
      </c>
      <c r="H352" s="35" t="s">
        <v>209</v>
      </c>
      <c r="I352" s="35" t="s">
        <v>200</v>
      </c>
      <c r="J352" s="35" t="n">
        <v>4</v>
      </c>
      <c r="K352" s="65" t="n">
        <v>25840.34</v>
      </c>
      <c r="L352" s="65" t="n">
        <v>103361.36</v>
      </c>
      <c r="M352" s="66" t="n">
        <f aca="false">DATE(YEAR(B352),MONTH(B352),1)</f>
        <v>45689</v>
      </c>
      <c r="N352" s="35" t="str">
        <f aca="false">IF(G352="","Unknown",G352)</f>
        <v>Mumbai</v>
      </c>
      <c r="O352" s="35" t="str">
        <f aca="false">IF(E352="","Unknown",IF(E352&lt;=25,"18-25",IF(E352&lt;=35,"26-35",IF(E352&lt;=45,"36-45",IF(E352&lt;=55,"46-55","56-65")))))</f>
        <v>36-45</v>
      </c>
      <c r="P352" s="35" t="n">
        <f aca="false">COUNTIF($C$2:$C$1001,C352)</f>
        <v>1</v>
      </c>
      <c r="Q352" s="35" t="n">
        <f aca="false">IF(COUNTIF($C$2:C352,C352)=1,1,0)</f>
        <v>1</v>
      </c>
    </row>
    <row r="353" customFormat="false" ht="15" hidden="false" customHeight="false" outlineLevel="0" collapsed="false">
      <c r="A353" s="35" t="s">
        <v>1202</v>
      </c>
      <c r="B353" s="64" t="n">
        <v>45701</v>
      </c>
      <c r="C353" s="35" t="s">
        <v>1203</v>
      </c>
      <c r="D353" s="35" t="s">
        <v>669</v>
      </c>
      <c r="E353" s="35" t="n">
        <v>55</v>
      </c>
      <c r="F353" s="35" t="s">
        <v>234</v>
      </c>
      <c r="G353" s="35" t="s">
        <v>218</v>
      </c>
      <c r="H353" s="35" t="s">
        <v>208</v>
      </c>
      <c r="I353" s="35" t="s">
        <v>200</v>
      </c>
      <c r="J353" s="35" t="n">
        <v>1</v>
      </c>
      <c r="K353" s="65" t="n">
        <v>8162.84</v>
      </c>
      <c r="L353" s="65" t="n">
        <v>8162.84</v>
      </c>
      <c r="M353" s="66" t="n">
        <f aca="false">DATE(YEAR(B353),MONTH(B353),1)</f>
        <v>45689</v>
      </c>
      <c r="N353" s="35" t="str">
        <f aca="false">IF(G353="","Unknown",G353)</f>
        <v>Bengaluru</v>
      </c>
      <c r="O353" s="35" t="str">
        <f aca="false">IF(E353="","Unknown",IF(E353&lt;=25,"18-25",IF(E353&lt;=35,"26-35",IF(E353&lt;=45,"36-45",IF(E353&lt;=55,"46-55","56-65")))))</f>
        <v>46-55</v>
      </c>
      <c r="P353" s="35" t="n">
        <f aca="false">COUNTIF($C$2:$C$1001,C353)</f>
        <v>1</v>
      </c>
      <c r="Q353" s="35" t="n">
        <f aca="false">IF(COUNTIF($C$2:C353,C353)=1,1,0)</f>
        <v>1</v>
      </c>
    </row>
    <row r="354" customFormat="false" ht="15" hidden="false" customHeight="false" outlineLevel="0" collapsed="false">
      <c r="A354" s="35" t="s">
        <v>1204</v>
      </c>
      <c r="B354" s="64" t="n">
        <v>45969</v>
      </c>
      <c r="C354" s="35" t="s">
        <v>1205</v>
      </c>
      <c r="D354" s="35" t="s">
        <v>1206</v>
      </c>
      <c r="E354" s="35" t="n">
        <v>34</v>
      </c>
      <c r="F354" s="35" t="s">
        <v>234</v>
      </c>
      <c r="G354" s="35" t="s">
        <v>219</v>
      </c>
      <c r="H354" s="35" t="s">
        <v>212</v>
      </c>
      <c r="I354" s="35" t="s">
        <v>203</v>
      </c>
      <c r="J354" s="35" t="n">
        <v>5</v>
      </c>
      <c r="K354" s="65" t="n">
        <v>49012.25</v>
      </c>
      <c r="L354" s="65" t="n">
        <v>245061.25</v>
      </c>
      <c r="M354" s="66" t="n">
        <f aca="false">DATE(YEAR(B354),MONTH(B354),1)</f>
        <v>45962</v>
      </c>
      <c r="N354" s="35" t="str">
        <f aca="false">IF(G354="","Unknown",G354)</f>
        <v>Mumbai</v>
      </c>
      <c r="O354" s="35" t="str">
        <f aca="false">IF(E354="","Unknown",IF(E354&lt;=25,"18-25",IF(E354&lt;=35,"26-35",IF(E354&lt;=45,"36-45",IF(E354&lt;=55,"46-55","56-65")))))</f>
        <v>26-35</v>
      </c>
      <c r="P354" s="35" t="n">
        <f aca="false">COUNTIF($C$2:$C$1001,C354)</f>
        <v>1</v>
      </c>
      <c r="Q354" s="35" t="n">
        <f aca="false">IF(COUNTIF($C$2:C354,C354)=1,1,0)</f>
        <v>1</v>
      </c>
    </row>
    <row r="355" customFormat="false" ht="15" hidden="false" customHeight="false" outlineLevel="0" collapsed="false">
      <c r="A355" s="35" t="s">
        <v>1207</v>
      </c>
      <c r="B355" s="64" t="n">
        <v>45950</v>
      </c>
      <c r="C355" s="35" t="s">
        <v>1208</v>
      </c>
      <c r="D355" s="35" t="s">
        <v>376</v>
      </c>
      <c r="E355" s="35" t="n">
        <v>29</v>
      </c>
      <c r="F355" s="35" t="s">
        <v>234</v>
      </c>
      <c r="G355" s="35" t="s">
        <v>223</v>
      </c>
      <c r="H355" s="35" t="s">
        <v>211</v>
      </c>
      <c r="I355" s="35" t="s">
        <v>202</v>
      </c>
      <c r="J355" s="35" t="n">
        <v>5</v>
      </c>
      <c r="K355" s="65" t="n">
        <v>19538.67</v>
      </c>
      <c r="L355" s="65" t="n">
        <v>97693.35</v>
      </c>
      <c r="M355" s="66" t="n">
        <f aca="false">DATE(YEAR(B355),MONTH(B355),1)</f>
        <v>45931</v>
      </c>
      <c r="N355" s="35" t="str">
        <f aca="false">IF(G355="","Unknown",G355)</f>
        <v>Gaya</v>
      </c>
      <c r="O355" s="35" t="str">
        <f aca="false">IF(E355="","Unknown",IF(E355&lt;=25,"18-25",IF(E355&lt;=35,"26-35",IF(E355&lt;=45,"36-45",IF(E355&lt;=55,"46-55","56-65")))))</f>
        <v>26-35</v>
      </c>
      <c r="P355" s="35" t="n">
        <f aca="false">COUNTIF($C$2:$C$1001,C355)</f>
        <v>1</v>
      </c>
      <c r="Q355" s="35" t="n">
        <f aca="false">IF(COUNTIF($C$2:C355,C355)=1,1,0)</f>
        <v>1</v>
      </c>
    </row>
    <row r="356" customFormat="false" ht="15" hidden="false" customHeight="false" outlineLevel="0" collapsed="false">
      <c r="A356" s="35" t="s">
        <v>1209</v>
      </c>
      <c r="B356" s="64" t="n">
        <v>45886</v>
      </c>
      <c r="C356" s="35" t="s">
        <v>1210</v>
      </c>
      <c r="D356" s="35" t="s">
        <v>1211</v>
      </c>
      <c r="E356" s="35" t="n">
        <v>55</v>
      </c>
      <c r="F356" s="35" t="s">
        <v>235</v>
      </c>
      <c r="G356" s="35" t="s">
        <v>220</v>
      </c>
      <c r="H356" s="35" t="s">
        <v>210</v>
      </c>
      <c r="I356" s="35" t="s">
        <v>201</v>
      </c>
      <c r="J356" s="35" t="n">
        <v>1</v>
      </c>
      <c r="K356" s="65" t="n">
        <v>5053.68</v>
      </c>
      <c r="L356" s="65" t="n">
        <v>5053.68</v>
      </c>
      <c r="M356" s="66" t="n">
        <f aca="false">DATE(YEAR(B356),MONTH(B356),1)</f>
        <v>45870</v>
      </c>
      <c r="N356" s="35" t="str">
        <f aca="false">IF(G356="","Unknown",G356)</f>
        <v>Hyderabad</v>
      </c>
      <c r="O356" s="35" t="str">
        <f aca="false">IF(E356="","Unknown",IF(E356&lt;=25,"18-25",IF(E356&lt;=35,"26-35",IF(E356&lt;=45,"36-45",IF(E356&lt;=55,"46-55","56-65")))))</f>
        <v>46-55</v>
      </c>
      <c r="P356" s="35" t="n">
        <f aca="false">COUNTIF($C$2:$C$1001,C356)</f>
        <v>1</v>
      </c>
      <c r="Q356" s="35" t="n">
        <f aca="false">IF(COUNTIF($C$2:C356,C356)=1,1,0)</f>
        <v>1</v>
      </c>
    </row>
    <row r="357" customFormat="false" ht="15" hidden="false" customHeight="false" outlineLevel="0" collapsed="false">
      <c r="A357" s="35" t="s">
        <v>1212</v>
      </c>
      <c r="B357" s="64" t="n">
        <v>45853</v>
      </c>
      <c r="C357" s="35" t="s">
        <v>1213</v>
      </c>
      <c r="D357" s="35" t="s">
        <v>1214</v>
      </c>
      <c r="E357" s="35" t="n">
        <v>28</v>
      </c>
      <c r="F357" s="35" t="s">
        <v>234</v>
      </c>
      <c r="G357" s="35" t="s">
        <v>223</v>
      </c>
      <c r="H357" s="35" t="s">
        <v>208</v>
      </c>
      <c r="I357" s="35" t="s">
        <v>200</v>
      </c>
      <c r="J357" s="35" t="n">
        <v>6</v>
      </c>
      <c r="K357" s="65" t="n">
        <v>14400.18</v>
      </c>
      <c r="L357" s="65" t="n">
        <v>86401.08</v>
      </c>
      <c r="M357" s="66" t="n">
        <f aca="false">DATE(YEAR(B357),MONTH(B357),1)</f>
        <v>45839</v>
      </c>
      <c r="N357" s="35" t="str">
        <f aca="false">IF(G357="","Unknown",G357)</f>
        <v>Gaya</v>
      </c>
      <c r="O357" s="35" t="str">
        <f aca="false">IF(E357="","Unknown",IF(E357&lt;=25,"18-25",IF(E357&lt;=35,"26-35",IF(E357&lt;=45,"36-45",IF(E357&lt;=55,"46-55","56-65")))))</f>
        <v>26-35</v>
      </c>
      <c r="P357" s="35" t="n">
        <f aca="false">COUNTIF($C$2:$C$1001,C357)</f>
        <v>1</v>
      </c>
      <c r="Q357" s="35" t="n">
        <f aca="false">IF(COUNTIF($C$2:C357,C357)=1,1,0)</f>
        <v>1</v>
      </c>
    </row>
    <row r="358" customFormat="false" ht="15" hidden="false" customHeight="false" outlineLevel="0" collapsed="false">
      <c r="A358" s="35" t="s">
        <v>1215</v>
      </c>
      <c r="B358" s="64" t="n">
        <v>45880</v>
      </c>
      <c r="C358" s="35" t="s">
        <v>1216</v>
      </c>
      <c r="D358" s="35" t="s">
        <v>364</v>
      </c>
      <c r="E358" s="35" t="n">
        <v>43</v>
      </c>
      <c r="F358" s="35" t="s">
        <v>235</v>
      </c>
      <c r="G358" s="35" t="s">
        <v>217</v>
      </c>
      <c r="H358" s="35" t="s">
        <v>212</v>
      </c>
      <c r="I358" s="35" t="s">
        <v>203</v>
      </c>
      <c r="J358" s="35" t="n">
        <v>4</v>
      </c>
      <c r="K358" s="65" t="n">
        <v>28464.26</v>
      </c>
      <c r="L358" s="65" t="n">
        <v>113857.04</v>
      </c>
      <c r="M358" s="66" t="n">
        <f aca="false">DATE(YEAR(B358),MONTH(B358),1)</f>
        <v>45870</v>
      </c>
      <c r="N358" s="35" t="str">
        <f aca="false">IF(G358="","Unknown",G358)</f>
        <v>Kolkata</v>
      </c>
      <c r="O358" s="35" t="str">
        <f aca="false">IF(E358="","Unknown",IF(E358&lt;=25,"18-25",IF(E358&lt;=35,"26-35",IF(E358&lt;=45,"36-45",IF(E358&lt;=55,"46-55","56-65")))))</f>
        <v>36-45</v>
      </c>
      <c r="P358" s="35" t="n">
        <f aca="false">COUNTIF($C$2:$C$1001,C358)</f>
        <v>1</v>
      </c>
      <c r="Q358" s="35" t="n">
        <f aca="false">IF(COUNTIF($C$2:C358,C358)=1,1,0)</f>
        <v>1</v>
      </c>
    </row>
    <row r="359" customFormat="false" ht="15" hidden="false" customHeight="false" outlineLevel="0" collapsed="false">
      <c r="A359" s="35" t="s">
        <v>1217</v>
      </c>
      <c r="B359" s="64" t="n">
        <v>45683</v>
      </c>
      <c r="C359" s="35" t="s">
        <v>1218</v>
      </c>
      <c r="D359" s="35" t="s">
        <v>696</v>
      </c>
      <c r="E359" s="35" t="n">
        <v>32</v>
      </c>
      <c r="F359" s="35" t="s">
        <v>235</v>
      </c>
      <c r="G359" s="35" t="s">
        <v>221</v>
      </c>
      <c r="H359" s="35" t="s">
        <v>213</v>
      </c>
      <c r="I359" s="35" t="s">
        <v>204</v>
      </c>
      <c r="J359" s="35" t="n">
        <v>5</v>
      </c>
      <c r="K359" s="65" t="n">
        <v>40682.5</v>
      </c>
      <c r="L359" s="65" t="n">
        <v>203412.5</v>
      </c>
      <c r="M359" s="66" t="n">
        <f aca="false">DATE(YEAR(B359),MONTH(B359),1)</f>
        <v>45658</v>
      </c>
      <c r="N359" s="35" t="str">
        <f aca="false">IF(G359="","Unknown",G359)</f>
        <v>Delhi</v>
      </c>
      <c r="O359" s="35" t="str">
        <f aca="false">IF(E359="","Unknown",IF(E359&lt;=25,"18-25",IF(E359&lt;=35,"26-35",IF(E359&lt;=45,"36-45",IF(E359&lt;=55,"46-55","56-65")))))</f>
        <v>26-35</v>
      </c>
      <c r="P359" s="35" t="n">
        <f aca="false">COUNTIF($C$2:$C$1001,C359)</f>
        <v>2</v>
      </c>
      <c r="Q359" s="35" t="n">
        <f aca="false">IF(COUNTIF($C$2:C359,C359)=1,1,0)</f>
        <v>1</v>
      </c>
    </row>
    <row r="360" customFormat="false" ht="15" hidden="false" customHeight="false" outlineLevel="0" collapsed="false">
      <c r="A360" s="35" t="s">
        <v>392</v>
      </c>
      <c r="B360" s="64" t="n">
        <v>45699</v>
      </c>
      <c r="C360" s="35" t="s">
        <v>1219</v>
      </c>
      <c r="D360" s="35" t="s">
        <v>332</v>
      </c>
      <c r="E360" s="35" t="n">
        <v>24</v>
      </c>
      <c r="F360" s="35" t="s">
        <v>235</v>
      </c>
      <c r="G360" s="35" t="s">
        <v>222</v>
      </c>
      <c r="H360" s="35" t="s">
        <v>211</v>
      </c>
      <c r="I360" s="35" t="s">
        <v>202</v>
      </c>
      <c r="J360" s="35" t="n">
        <v>7</v>
      </c>
      <c r="K360" s="65" t="n">
        <v>45480.39</v>
      </c>
      <c r="L360" s="65" t="n">
        <v>318362.73</v>
      </c>
      <c r="M360" s="66" t="n">
        <f aca="false">DATE(YEAR(B360),MONTH(B360),1)</f>
        <v>45689</v>
      </c>
      <c r="N360" s="35" t="str">
        <f aca="false">IF(G360="","Unknown",G360)</f>
        <v>Pune</v>
      </c>
      <c r="O360" s="35" t="str">
        <f aca="false">IF(E360="","Unknown",IF(E360&lt;=25,"18-25",IF(E360&lt;=35,"26-35",IF(E360&lt;=45,"36-45",IF(E360&lt;=55,"46-55","56-65")))))</f>
        <v>18-25</v>
      </c>
      <c r="P360" s="35" t="n">
        <f aca="false">COUNTIF($C$2:$C$1001,C360)</f>
        <v>1</v>
      </c>
      <c r="Q360" s="35" t="n">
        <f aca="false">IF(COUNTIF($C$2:C360,C360)=1,1,0)</f>
        <v>1</v>
      </c>
    </row>
    <row r="361" customFormat="false" ht="15" hidden="false" customHeight="false" outlineLevel="0" collapsed="false">
      <c r="A361" s="35" t="s">
        <v>1220</v>
      </c>
      <c r="B361" s="64" t="n">
        <v>45773</v>
      </c>
      <c r="C361" s="35" t="s">
        <v>1221</v>
      </c>
      <c r="D361" s="35" t="s">
        <v>768</v>
      </c>
      <c r="E361" s="35" t="n">
        <v>52</v>
      </c>
      <c r="F361" s="35" t="s">
        <v>235</v>
      </c>
      <c r="G361" s="35" t="s">
        <v>221</v>
      </c>
      <c r="H361" s="35" t="s">
        <v>210</v>
      </c>
      <c r="I361" s="35" t="s">
        <v>201</v>
      </c>
      <c r="J361" s="35" t="n">
        <v>6</v>
      </c>
      <c r="K361" s="65" t="n">
        <v>42742.96</v>
      </c>
      <c r="L361" s="65" t="n">
        <v>256457.76</v>
      </c>
      <c r="M361" s="66" t="n">
        <f aca="false">DATE(YEAR(B361),MONTH(B361),1)</f>
        <v>45748</v>
      </c>
      <c r="N361" s="35" t="str">
        <f aca="false">IF(G361="","Unknown",G361)</f>
        <v>Delhi</v>
      </c>
      <c r="O361" s="35" t="str">
        <f aca="false">IF(E361="","Unknown",IF(E361&lt;=25,"18-25",IF(E361&lt;=35,"26-35",IF(E361&lt;=45,"36-45",IF(E361&lt;=55,"46-55","56-65")))))</f>
        <v>46-55</v>
      </c>
      <c r="P361" s="35" t="n">
        <f aca="false">COUNTIF($C$2:$C$1001,C361)</f>
        <v>1</v>
      </c>
      <c r="Q361" s="35" t="n">
        <f aca="false">IF(COUNTIF($C$2:C361,C361)=1,1,0)</f>
        <v>1</v>
      </c>
    </row>
    <row r="362" customFormat="false" ht="15" hidden="false" customHeight="false" outlineLevel="0" collapsed="false">
      <c r="A362" s="35" t="s">
        <v>1222</v>
      </c>
      <c r="B362" s="64" t="n">
        <v>45931</v>
      </c>
      <c r="C362" s="35" t="s">
        <v>1223</v>
      </c>
      <c r="D362" s="35" t="s">
        <v>830</v>
      </c>
      <c r="E362" s="35" t="n">
        <v>64</v>
      </c>
      <c r="F362" s="35" t="s">
        <v>235</v>
      </c>
      <c r="G362" s="35" t="s">
        <v>222</v>
      </c>
      <c r="H362" s="35" t="s">
        <v>208</v>
      </c>
      <c r="I362" s="35" t="s">
        <v>200</v>
      </c>
      <c r="J362" s="35" t="n">
        <v>10</v>
      </c>
      <c r="K362" s="65" t="n">
        <v>19010.69</v>
      </c>
      <c r="L362" s="65" t="n">
        <v>190106.9</v>
      </c>
      <c r="M362" s="66" t="n">
        <f aca="false">DATE(YEAR(B362),MONTH(B362),1)</f>
        <v>45931</v>
      </c>
      <c r="N362" s="35" t="str">
        <f aca="false">IF(G362="","Unknown",G362)</f>
        <v>Pune</v>
      </c>
      <c r="O362" s="35" t="str">
        <f aca="false">IF(E362="","Unknown",IF(E362&lt;=25,"18-25",IF(E362&lt;=35,"26-35",IF(E362&lt;=45,"36-45",IF(E362&lt;=55,"46-55","56-65")))))</f>
        <v>56-65</v>
      </c>
      <c r="P362" s="35" t="n">
        <f aca="false">COUNTIF($C$2:$C$1001,C362)</f>
        <v>1</v>
      </c>
      <c r="Q362" s="35" t="n">
        <f aca="false">IF(COUNTIF($C$2:C362,C362)=1,1,0)</f>
        <v>1</v>
      </c>
    </row>
    <row r="363" customFormat="false" ht="15" hidden="false" customHeight="false" outlineLevel="0" collapsed="false">
      <c r="A363" s="35" t="s">
        <v>1224</v>
      </c>
      <c r="B363" s="64" t="n">
        <v>45777</v>
      </c>
      <c r="C363" s="35" t="s">
        <v>1225</v>
      </c>
      <c r="D363" s="35" t="s">
        <v>1226</v>
      </c>
      <c r="E363" s="35" t="n">
        <v>35</v>
      </c>
      <c r="F363" s="35" t="s">
        <v>234</v>
      </c>
      <c r="G363" s="35" t="s">
        <v>222</v>
      </c>
      <c r="H363" s="35" t="s">
        <v>208</v>
      </c>
      <c r="I363" s="35" t="s">
        <v>200</v>
      </c>
      <c r="J363" s="35" t="n">
        <v>5</v>
      </c>
      <c r="K363" s="65" t="n">
        <v>31244.32</v>
      </c>
      <c r="L363" s="65" t="n">
        <v>156221.6</v>
      </c>
      <c r="M363" s="66" t="n">
        <f aca="false">DATE(YEAR(B363),MONTH(B363),1)</f>
        <v>45748</v>
      </c>
      <c r="N363" s="35" t="str">
        <f aca="false">IF(G363="","Unknown",G363)</f>
        <v>Pune</v>
      </c>
      <c r="O363" s="35" t="str">
        <f aca="false">IF(E363="","Unknown",IF(E363&lt;=25,"18-25",IF(E363&lt;=35,"26-35",IF(E363&lt;=45,"36-45",IF(E363&lt;=55,"46-55","56-65")))))</f>
        <v>26-35</v>
      </c>
      <c r="P363" s="35" t="n">
        <f aca="false">COUNTIF($C$2:$C$1001,C363)</f>
        <v>1</v>
      </c>
      <c r="Q363" s="35" t="n">
        <f aca="false">IF(COUNTIF($C$2:C363,C363)=1,1,0)</f>
        <v>1</v>
      </c>
    </row>
    <row r="364" customFormat="false" ht="15" hidden="false" customHeight="false" outlineLevel="0" collapsed="false">
      <c r="A364" s="35" t="s">
        <v>1227</v>
      </c>
      <c r="B364" s="64" t="n">
        <v>45977</v>
      </c>
      <c r="C364" s="35" t="s">
        <v>1228</v>
      </c>
      <c r="D364" s="35" t="s">
        <v>1229</v>
      </c>
      <c r="E364" s="35" t="n">
        <v>32</v>
      </c>
      <c r="F364" s="35" t="s">
        <v>234</v>
      </c>
      <c r="G364" s="35" t="s">
        <v>218</v>
      </c>
      <c r="H364" s="35" t="s">
        <v>208</v>
      </c>
      <c r="I364" s="35" t="s">
        <v>200</v>
      </c>
      <c r="J364" s="35" t="n">
        <v>7</v>
      </c>
      <c r="K364" s="65" t="n">
        <v>42733.08</v>
      </c>
      <c r="L364" s="65" t="n">
        <v>299131.56</v>
      </c>
      <c r="M364" s="66" t="n">
        <f aca="false">DATE(YEAR(B364),MONTH(B364),1)</f>
        <v>45962</v>
      </c>
      <c r="N364" s="35" t="str">
        <f aca="false">IF(G364="","Unknown",G364)</f>
        <v>Bengaluru</v>
      </c>
      <c r="O364" s="35" t="str">
        <f aca="false">IF(E364="","Unknown",IF(E364&lt;=25,"18-25",IF(E364&lt;=35,"26-35",IF(E364&lt;=45,"36-45",IF(E364&lt;=55,"46-55","56-65")))))</f>
        <v>26-35</v>
      </c>
      <c r="P364" s="35" t="n">
        <f aca="false">COUNTIF($C$2:$C$1001,C364)</f>
        <v>1</v>
      </c>
      <c r="Q364" s="35" t="n">
        <f aca="false">IF(COUNTIF($C$2:C364,C364)=1,1,0)</f>
        <v>1</v>
      </c>
    </row>
    <row r="365" customFormat="false" ht="15" hidden="false" customHeight="false" outlineLevel="0" collapsed="false">
      <c r="A365" s="35" t="s">
        <v>1230</v>
      </c>
      <c r="B365" s="64" t="n">
        <v>46021</v>
      </c>
      <c r="C365" s="35" t="s">
        <v>1231</v>
      </c>
      <c r="D365" s="35" t="s">
        <v>523</v>
      </c>
      <c r="E365" s="35" t="n">
        <v>61</v>
      </c>
      <c r="F365" s="35" t="s">
        <v>235</v>
      </c>
      <c r="G365" s="35" t="s">
        <v>223</v>
      </c>
      <c r="H365" s="35" t="s">
        <v>213</v>
      </c>
      <c r="I365" s="35" t="s">
        <v>204</v>
      </c>
      <c r="J365" s="35" t="n">
        <v>1</v>
      </c>
      <c r="K365" s="65" t="n">
        <v>44751.42</v>
      </c>
      <c r="L365" s="65" t="n">
        <v>44751.42</v>
      </c>
      <c r="M365" s="66" t="n">
        <f aca="false">DATE(YEAR(B365),MONTH(B365),1)</f>
        <v>45992</v>
      </c>
      <c r="N365" s="35" t="str">
        <f aca="false">IF(G365="","Unknown",G365)</f>
        <v>Gaya</v>
      </c>
      <c r="O365" s="35" t="str">
        <f aca="false">IF(E365="","Unknown",IF(E365&lt;=25,"18-25",IF(E365&lt;=35,"26-35",IF(E365&lt;=45,"36-45",IF(E365&lt;=55,"46-55","56-65")))))</f>
        <v>56-65</v>
      </c>
      <c r="P365" s="35" t="n">
        <f aca="false">COUNTIF($C$2:$C$1001,C365)</f>
        <v>1</v>
      </c>
      <c r="Q365" s="35" t="n">
        <f aca="false">IF(COUNTIF($C$2:C365,C365)=1,1,0)</f>
        <v>1</v>
      </c>
    </row>
    <row r="366" customFormat="false" ht="15" hidden="false" customHeight="false" outlineLevel="0" collapsed="false">
      <c r="A366" s="35" t="s">
        <v>1232</v>
      </c>
      <c r="B366" s="64" t="n">
        <v>45729</v>
      </c>
      <c r="C366" s="35" t="s">
        <v>1233</v>
      </c>
      <c r="D366" s="35" t="s">
        <v>666</v>
      </c>
      <c r="E366" s="35" t="n">
        <v>18</v>
      </c>
      <c r="F366" s="35" t="s">
        <v>234</v>
      </c>
      <c r="G366" s="35" t="s">
        <v>218</v>
      </c>
      <c r="H366" s="35" t="s">
        <v>209</v>
      </c>
      <c r="I366" s="35" t="s">
        <v>200</v>
      </c>
      <c r="J366" s="35" t="n">
        <v>10</v>
      </c>
      <c r="K366" s="65" t="n">
        <v>47493.59</v>
      </c>
      <c r="L366" s="65" t="n">
        <v>474935.9</v>
      </c>
      <c r="M366" s="66" t="n">
        <f aca="false">DATE(YEAR(B366),MONTH(B366),1)</f>
        <v>45717</v>
      </c>
      <c r="N366" s="35" t="str">
        <f aca="false">IF(G366="","Unknown",G366)</f>
        <v>Bengaluru</v>
      </c>
      <c r="O366" s="35" t="str">
        <f aca="false">IF(E366="","Unknown",IF(E366&lt;=25,"18-25",IF(E366&lt;=35,"26-35",IF(E366&lt;=45,"36-45",IF(E366&lt;=55,"46-55","56-65")))))</f>
        <v>18-25</v>
      </c>
      <c r="P366" s="35" t="n">
        <f aca="false">COUNTIF($C$2:$C$1001,C366)</f>
        <v>1</v>
      </c>
      <c r="Q366" s="35" t="n">
        <f aca="false">IF(COUNTIF($C$2:C366,C366)=1,1,0)</f>
        <v>1</v>
      </c>
    </row>
    <row r="367" customFormat="false" ht="15" hidden="false" customHeight="false" outlineLevel="0" collapsed="false">
      <c r="A367" s="35" t="s">
        <v>1234</v>
      </c>
      <c r="B367" s="64" t="n">
        <v>45907</v>
      </c>
      <c r="C367" s="35" t="s">
        <v>1235</v>
      </c>
      <c r="D367" s="35" t="s">
        <v>462</v>
      </c>
      <c r="E367" s="35" t="n">
        <v>43</v>
      </c>
      <c r="F367" s="35" t="s">
        <v>235</v>
      </c>
      <c r="G367" s="35" t="s">
        <v>223</v>
      </c>
      <c r="H367" s="35" t="s">
        <v>213</v>
      </c>
      <c r="I367" s="35" t="s">
        <v>204</v>
      </c>
      <c r="J367" s="35" t="n">
        <v>8</v>
      </c>
      <c r="K367" s="65" t="n">
        <v>46122.45</v>
      </c>
      <c r="L367" s="65" t="n">
        <v>368979.6</v>
      </c>
      <c r="M367" s="66" t="n">
        <f aca="false">DATE(YEAR(B367),MONTH(B367),1)</f>
        <v>45901</v>
      </c>
      <c r="N367" s="35" t="str">
        <f aca="false">IF(G367="","Unknown",G367)</f>
        <v>Gaya</v>
      </c>
      <c r="O367" s="35" t="str">
        <f aca="false">IF(E367="","Unknown",IF(E367&lt;=25,"18-25",IF(E367&lt;=35,"26-35",IF(E367&lt;=45,"36-45",IF(E367&lt;=55,"46-55","56-65")))))</f>
        <v>36-45</v>
      </c>
      <c r="P367" s="35" t="n">
        <f aca="false">COUNTIF($C$2:$C$1001,C367)</f>
        <v>1</v>
      </c>
      <c r="Q367" s="35" t="n">
        <f aca="false">IF(COUNTIF($C$2:C367,C367)=1,1,0)</f>
        <v>1</v>
      </c>
    </row>
    <row r="368" customFormat="false" ht="15" hidden="false" customHeight="false" outlineLevel="0" collapsed="false">
      <c r="A368" s="35" t="s">
        <v>1236</v>
      </c>
      <c r="B368" s="64" t="n">
        <v>45814</v>
      </c>
      <c r="C368" s="35" t="s">
        <v>1237</v>
      </c>
      <c r="D368" s="35" t="s">
        <v>600</v>
      </c>
      <c r="E368" s="35" t="n">
        <v>61</v>
      </c>
      <c r="F368" s="35" t="s">
        <v>234</v>
      </c>
      <c r="G368" s="35" t="s">
        <v>218</v>
      </c>
      <c r="H368" s="35" t="s">
        <v>213</v>
      </c>
      <c r="I368" s="35" t="s">
        <v>204</v>
      </c>
      <c r="J368" s="35" t="n">
        <v>3</v>
      </c>
      <c r="K368" s="65" t="n">
        <v>31028.12</v>
      </c>
      <c r="L368" s="65" t="n">
        <v>93084.36</v>
      </c>
      <c r="M368" s="66" t="n">
        <f aca="false">DATE(YEAR(B368),MONTH(B368),1)</f>
        <v>45809</v>
      </c>
      <c r="N368" s="35" t="str">
        <f aca="false">IF(G368="","Unknown",G368)</f>
        <v>Bengaluru</v>
      </c>
      <c r="O368" s="35" t="str">
        <f aca="false">IF(E368="","Unknown",IF(E368&lt;=25,"18-25",IF(E368&lt;=35,"26-35",IF(E368&lt;=45,"36-45",IF(E368&lt;=55,"46-55","56-65")))))</f>
        <v>56-65</v>
      </c>
      <c r="P368" s="35" t="n">
        <f aca="false">COUNTIF($C$2:$C$1001,C368)</f>
        <v>1</v>
      </c>
      <c r="Q368" s="35" t="n">
        <f aca="false">IF(COUNTIF($C$2:C368,C368)=1,1,0)</f>
        <v>1</v>
      </c>
    </row>
    <row r="369" customFormat="false" ht="15" hidden="false" customHeight="false" outlineLevel="0" collapsed="false">
      <c r="A369" s="35" t="s">
        <v>1238</v>
      </c>
      <c r="B369" s="64" t="n">
        <v>45820</v>
      </c>
      <c r="C369" s="35" t="s">
        <v>1239</v>
      </c>
      <c r="D369" s="35" t="s">
        <v>1240</v>
      </c>
      <c r="E369" s="35" t="n">
        <v>26</v>
      </c>
      <c r="F369" s="35" t="s">
        <v>234</v>
      </c>
      <c r="G369" s="35" t="s">
        <v>218</v>
      </c>
      <c r="H369" s="35" t="s">
        <v>213</v>
      </c>
      <c r="I369" s="35" t="s">
        <v>204</v>
      </c>
      <c r="J369" s="35" t="n">
        <v>2</v>
      </c>
      <c r="K369" s="65" t="n">
        <v>48986.48</v>
      </c>
      <c r="L369" s="65" t="n">
        <v>97972.96</v>
      </c>
      <c r="M369" s="66" t="n">
        <f aca="false">DATE(YEAR(B369),MONTH(B369),1)</f>
        <v>45809</v>
      </c>
      <c r="N369" s="35" t="str">
        <f aca="false">IF(G369="","Unknown",G369)</f>
        <v>Bengaluru</v>
      </c>
      <c r="O369" s="35" t="str">
        <f aca="false">IF(E369="","Unknown",IF(E369&lt;=25,"18-25",IF(E369&lt;=35,"26-35",IF(E369&lt;=45,"36-45",IF(E369&lt;=55,"46-55","56-65")))))</f>
        <v>26-35</v>
      </c>
      <c r="P369" s="35" t="n">
        <f aca="false">COUNTIF($C$2:$C$1001,C369)</f>
        <v>1</v>
      </c>
      <c r="Q369" s="35" t="n">
        <f aca="false">IF(COUNTIF($C$2:C369,C369)=1,1,0)</f>
        <v>1</v>
      </c>
    </row>
    <row r="370" customFormat="false" ht="15" hidden="false" customHeight="false" outlineLevel="0" collapsed="false">
      <c r="A370" s="35" t="s">
        <v>1241</v>
      </c>
      <c r="B370" s="64" t="n">
        <v>45683</v>
      </c>
      <c r="C370" s="35" t="s">
        <v>1242</v>
      </c>
      <c r="D370" s="35" t="s">
        <v>842</v>
      </c>
      <c r="E370" s="35" t="n">
        <v>37</v>
      </c>
      <c r="F370" s="35" t="s">
        <v>234</v>
      </c>
      <c r="G370" s="35" t="s">
        <v>216</v>
      </c>
      <c r="H370" s="35" t="s">
        <v>209</v>
      </c>
      <c r="I370" s="35" t="s">
        <v>200</v>
      </c>
      <c r="J370" s="35" t="n">
        <v>10</v>
      </c>
      <c r="K370" s="65" t="n">
        <v>12839.38</v>
      </c>
      <c r="L370" s="65" t="n">
        <v>128393.8</v>
      </c>
      <c r="M370" s="66" t="n">
        <f aca="false">DATE(YEAR(B370),MONTH(B370),1)</f>
        <v>45658</v>
      </c>
      <c r="N370" s="35" t="str">
        <f aca="false">IF(G370="","Unknown",G370)</f>
        <v>Patna</v>
      </c>
      <c r="O370" s="35" t="str">
        <f aca="false">IF(E370="","Unknown",IF(E370&lt;=25,"18-25",IF(E370&lt;=35,"26-35",IF(E370&lt;=45,"36-45",IF(E370&lt;=55,"46-55","56-65")))))</f>
        <v>36-45</v>
      </c>
      <c r="P370" s="35" t="n">
        <f aca="false">COUNTIF($C$2:$C$1001,C370)</f>
        <v>1</v>
      </c>
      <c r="Q370" s="35" t="n">
        <f aca="false">IF(COUNTIF($C$2:C370,C370)=1,1,0)</f>
        <v>1</v>
      </c>
    </row>
    <row r="371" customFormat="false" ht="15" hidden="false" customHeight="false" outlineLevel="0" collapsed="false">
      <c r="A371" s="35" t="s">
        <v>1243</v>
      </c>
      <c r="B371" s="64" t="n">
        <v>45925</v>
      </c>
      <c r="C371" s="35" t="s">
        <v>1244</v>
      </c>
      <c r="D371" s="35" t="s">
        <v>1084</v>
      </c>
      <c r="E371" s="35" t="n">
        <v>29</v>
      </c>
      <c r="F371" s="35" t="s">
        <v>235</v>
      </c>
      <c r="G371" s="35" t="s">
        <v>217</v>
      </c>
      <c r="H371" s="35" t="s">
        <v>209</v>
      </c>
      <c r="I371" s="35" t="s">
        <v>200</v>
      </c>
      <c r="J371" s="35" t="n">
        <v>1</v>
      </c>
      <c r="K371" s="65" t="n">
        <v>6050.27</v>
      </c>
      <c r="L371" s="65" t="n">
        <v>6050.27</v>
      </c>
      <c r="M371" s="66" t="n">
        <f aca="false">DATE(YEAR(B371),MONTH(B371),1)</f>
        <v>45901</v>
      </c>
      <c r="N371" s="35" t="str">
        <f aca="false">IF(G371="","Unknown",G371)</f>
        <v>Kolkata</v>
      </c>
      <c r="O371" s="35" t="str">
        <f aca="false">IF(E371="","Unknown",IF(E371&lt;=25,"18-25",IF(E371&lt;=35,"26-35",IF(E371&lt;=45,"36-45",IF(E371&lt;=55,"46-55","56-65")))))</f>
        <v>26-35</v>
      </c>
      <c r="P371" s="35" t="n">
        <f aca="false">COUNTIF($C$2:$C$1001,C371)</f>
        <v>1</v>
      </c>
      <c r="Q371" s="35" t="n">
        <f aca="false">IF(COUNTIF($C$2:C371,C371)=1,1,0)</f>
        <v>1</v>
      </c>
    </row>
    <row r="372" customFormat="false" ht="15" hidden="false" customHeight="false" outlineLevel="0" collapsed="false">
      <c r="A372" s="35" t="s">
        <v>1245</v>
      </c>
      <c r="B372" s="64" t="n">
        <v>45823</v>
      </c>
      <c r="C372" s="35" t="s">
        <v>1246</v>
      </c>
      <c r="D372" s="35" t="s">
        <v>1247</v>
      </c>
      <c r="E372" s="35" t="n">
        <v>57</v>
      </c>
      <c r="F372" s="35" t="s">
        <v>234</v>
      </c>
      <c r="G372" s="35" t="s">
        <v>219</v>
      </c>
      <c r="H372" s="35" t="s">
        <v>209</v>
      </c>
      <c r="I372" s="35" t="s">
        <v>200</v>
      </c>
      <c r="J372" s="35" t="n">
        <v>2</v>
      </c>
      <c r="K372" s="65" t="n">
        <v>42518.8</v>
      </c>
      <c r="L372" s="65" t="n">
        <v>85037.6</v>
      </c>
      <c r="M372" s="66" t="n">
        <f aca="false">DATE(YEAR(B372),MONTH(B372),1)</f>
        <v>45809</v>
      </c>
      <c r="N372" s="35" t="str">
        <f aca="false">IF(G372="","Unknown",G372)</f>
        <v>Mumbai</v>
      </c>
      <c r="O372" s="35" t="str">
        <f aca="false">IF(E372="","Unknown",IF(E372&lt;=25,"18-25",IF(E372&lt;=35,"26-35",IF(E372&lt;=45,"36-45",IF(E372&lt;=55,"46-55","56-65")))))</f>
        <v>56-65</v>
      </c>
      <c r="P372" s="35" t="n">
        <f aca="false">COUNTIF($C$2:$C$1001,C372)</f>
        <v>1</v>
      </c>
      <c r="Q372" s="35" t="n">
        <f aca="false">IF(COUNTIF($C$2:C372,C372)=1,1,0)</f>
        <v>1</v>
      </c>
    </row>
    <row r="373" customFormat="false" ht="15" hidden="false" customHeight="false" outlineLevel="0" collapsed="false">
      <c r="A373" s="35" t="s">
        <v>1248</v>
      </c>
      <c r="B373" s="64" t="n">
        <v>45812</v>
      </c>
      <c r="C373" s="35" t="s">
        <v>1249</v>
      </c>
      <c r="D373" s="35" t="s">
        <v>891</v>
      </c>
      <c r="E373" s="35" t="n">
        <v>49</v>
      </c>
      <c r="F373" s="35" t="s">
        <v>235</v>
      </c>
      <c r="G373" s="35" t="s">
        <v>219</v>
      </c>
      <c r="H373" s="35" t="s">
        <v>211</v>
      </c>
      <c r="I373" s="35" t="s">
        <v>202</v>
      </c>
      <c r="J373" s="35" t="n">
        <v>4</v>
      </c>
      <c r="K373" s="65" t="n">
        <v>22806.21</v>
      </c>
      <c r="L373" s="65" t="n">
        <v>91224.84</v>
      </c>
      <c r="M373" s="66" t="n">
        <f aca="false">DATE(YEAR(B373),MONTH(B373),1)</f>
        <v>45809</v>
      </c>
      <c r="N373" s="35" t="str">
        <f aca="false">IF(G373="","Unknown",G373)</f>
        <v>Mumbai</v>
      </c>
      <c r="O373" s="35" t="str">
        <f aca="false">IF(E373="","Unknown",IF(E373&lt;=25,"18-25",IF(E373&lt;=35,"26-35",IF(E373&lt;=45,"36-45",IF(E373&lt;=55,"46-55","56-65")))))</f>
        <v>46-55</v>
      </c>
      <c r="P373" s="35" t="n">
        <f aca="false">COUNTIF($C$2:$C$1001,C373)</f>
        <v>1</v>
      </c>
      <c r="Q373" s="35" t="n">
        <f aca="false">IF(COUNTIF($C$2:C373,C373)=1,1,0)</f>
        <v>1</v>
      </c>
    </row>
    <row r="374" customFormat="false" ht="15" hidden="false" customHeight="false" outlineLevel="0" collapsed="false">
      <c r="A374" s="35" t="s">
        <v>1250</v>
      </c>
      <c r="B374" s="64" t="n">
        <v>45675</v>
      </c>
      <c r="C374" s="35" t="s">
        <v>1251</v>
      </c>
      <c r="D374" s="35" t="s">
        <v>1252</v>
      </c>
      <c r="E374" s="35" t="n">
        <v>32</v>
      </c>
      <c r="F374" s="35" t="s">
        <v>235</v>
      </c>
      <c r="G374" s="35" t="s">
        <v>218</v>
      </c>
      <c r="H374" s="35" t="s">
        <v>208</v>
      </c>
      <c r="I374" s="35" t="s">
        <v>200</v>
      </c>
      <c r="J374" s="35" t="n">
        <v>4</v>
      </c>
      <c r="K374" s="65" t="n">
        <v>39453.46</v>
      </c>
      <c r="L374" s="65" t="n">
        <v>157813.84</v>
      </c>
      <c r="M374" s="66" t="n">
        <f aca="false">DATE(YEAR(B374),MONTH(B374),1)</f>
        <v>45658</v>
      </c>
      <c r="N374" s="35" t="str">
        <f aca="false">IF(G374="","Unknown",G374)</f>
        <v>Bengaluru</v>
      </c>
      <c r="O374" s="35" t="str">
        <f aca="false">IF(E374="","Unknown",IF(E374&lt;=25,"18-25",IF(E374&lt;=35,"26-35",IF(E374&lt;=45,"36-45",IF(E374&lt;=55,"46-55","56-65")))))</f>
        <v>26-35</v>
      </c>
      <c r="P374" s="35" t="n">
        <f aca="false">COUNTIF($C$2:$C$1001,C374)</f>
        <v>2</v>
      </c>
      <c r="Q374" s="35" t="n">
        <f aca="false">IF(COUNTIF($C$2:C374,C374)=1,1,0)</f>
        <v>1</v>
      </c>
    </row>
    <row r="375" customFormat="false" ht="15" hidden="false" customHeight="false" outlineLevel="0" collapsed="false">
      <c r="A375" s="35" t="s">
        <v>1253</v>
      </c>
      <c r="B375" s="64" t="n">
        <v>45783</v>
      </c>
      <c r="C375" s="35" t="s">
        <v>1254</v>
      </c>
      <c r="D375" s="35" t="s">
        <v>1255</v>
      </c>
      <c r="E375" s="35" t="n">
        <v>20</v>
      </c>
      <c r="F375" s="35" t="s">
        <v>234</v>
      </c>
      <c r="G375" s="35"/>
      <c r="H375" s="35" t="s">
        <v>208</v>
      </c>
      <c r="I375" s="35" t="s">
        <v>200</v>
      </c>
      <c r="J375" s="35" t="n">
        <v>2</v>
      </c>
      <c r="K375" s="65" t="n">
        <v>28311.58</v>
      </c>
      <c r="L375" s="65" t="n">
        <v>56623.16</v>
      </c>
      <c r="M375" s="66" t="n">
        <f aca="false">DATE(YEAR(B375),MONTH(B375),1)</f>
        <v>45778</v>
      </c>
      <c r="N375" s="35" t="str">
        <f aca="false">IF(G375="","Unknown",G375)</f>
        <v>Unknown</v>
      </c>
      <c r="O375" s="35" t="str">
        <f aca="false">IF(E375="","Unknown",IF(E375&lt;=25,"18-25",IF(E375&lt;=35,"26-35",IF(E375&lt;=45,"36-45",IF(E375&lt;=55,"46-55","56-65")))))</f>
        <v>18-25</v>
      </c>
      <c r="P375" s="35" t="n">
        <f aca="false">COUNTIF($C$2:$C$1001,C375)</f>
        <v>1</v>
      </c>
      <c r="Q375" s="35" t="n">
        <f aca="false">IF(COUNTIF($C$2:C375,C375)=1,1,0)</f>
        <v>1</v>
      </c>
    </row>
    <row r="376" customFormat="false" ht="15" hidden="false" customHeight="false" outlineLevel="0" collapsed="false">
      <c r="A376" s="35" t="s">
        <v>1256</v>
      </c>
      <c r="B376" s="64" t="n">
        <v>45716</v>
      </c>
      <c r="C376" s="35" t="s">
        <v>1257</v>
      </c>
      <c r="D376" s="35" t="s">
        <v>364</v>
      </c>
      <c r="E376" s="35" t="n">
        <v>54</v>
      </c>
      <c r="F376" s="35" t="s">
        <v>235</v>
      </c>
      <c r="G376" s="35" t="s">
        <v>221</v>
      </c>
      <c r="H376" s="35" t="s">
        <v>211</v>
      </c>
      <c r="I376" s="35" t="s">
        <v>202</v>
      </c>
      <c r="J376" s="35" t="n">
        <v>3</v>
      </c>
      <c r="K376" s="65" t="n">
        <v>11513.96</v>
      </c>
      <c r="L376" s="65" t="n">
        <v>34541.88</v>
      </c>
      <c r="M376" s="66" t="n">
        <f aca="false">DATE(YEAR(B376),MONTH(B376),1)</f>
        <v>45689</v>
      </c>
      <c r="N376" s="35" t="str">
        <f aca="false">IF(G376="","Unknown",G376)</f>
        <v>Delhi</v>
      </c>
      <c r="O376" s="35" t="str">
        <f aca="false">IF(E376="","Unknown",IF(E376&lt;=25,"18-25",IF(E376&lt;=35,"26-35",IF(E376&lt;=45,"36-45",IF(E376&lt;=55,"46-55","56-65")))))</f>
        <v>46-55</v>
      </c>
      <c r="P376" s="35" t="n">
        <f aca="false">COUNTIF($C$2:$C$1001,C376)</f>
        <v>1</v>
      </c>
      <c r="Q376" s="35" t="n">
        <f aca="false">IF(COUNTIF($C$2:C376,C376)=1,1,0)</f>
        <v>1</v>
      </c>
    </row>
    <row r="377" customFormat="false" ht="15" hidden="false" customHeight="false" outlineLevel="0" collapsed="false">
      <c r="A377" s="35" t="s">
        <v>1258</v>
      </c>
      <c r="B377" s="64" t="n">
        <v>45955</v>
      </c>
      <c r="C377" s="35" t="s">
        <v>1259</v>
      </c>
      <c r="D377" s="35" t="s">
        <v>1260</v>
      </c>
      <c r="E377" s="35" t="n">
        <v>33</v>
      </c>
      <c r="F377" s="35" t="s">
        <v>234</v>
      </c>
      <c r="G377" s="35" t="s">
        <v>218</v>
      </c>
      <c r="H377" s="35" t="s">
        <v>213</v>
      </c>
      <c r="I377" s="35" t="s">
        <v>204</v>
      </c>
      <c r="J377" s="35" t="n">
        <v>8</v>
      </c>
      <c r="K377" s="65" t="n">
        <v>16079.7</v>
      </c>
      <c r="L377" s="65" t="n">
        <v>128637.6</v>
      </c>
      <c r="M377" s="66" t="n">
        <f aca="false">DATE(YEAR(B377),MONTH(B377),1)</f>
        <v>45931</v>
      </c>
      <c r="N377" s="35" t="str">
        <f aca="false">IF(G377="","Unknown",G377)</f>
        <v>Bengaluru</v>
      </c>
      <c r="O377" s="35" t="str">
        <f aca="false">IF(E377="","Unknown",IF(E377&lt;=25,"18-25",IF(E377&lt;=35,"26-35",IF(E377&lt;=45,"36-45",IF(E377&lt;=55,"46-55","56-65")))))</f>
        <v>26-35</v>
      </c>
      <c r="P377" s="35" t="n">
        <f aca="false">COUNTIF($C$2:$C$1001,C377)</f>
        <v>1</v>
      </c>
      <c r="Q377" s="35" t="n">
        <f aca="false">IF(COUNTIF($C$2:C377,C377)=1,1,0)</f>
        <v>1</v>
      </c>
    </row>
    <row r="378" customFormat="false" ht="15" hidden="false" customHeight="false" outlineLevel="0" collapsed="false">
      <c r="A378" s="35" t="s">
        <v>1261</v>
      </c>
      <c r="B378" s="64" t="n">
        <v>45929</v>
      </c>
      <c r="C378" s="35" t="s">
        <v>1262</v>
      </c>
      <c r="D378" s="35" t="s">
        <v>768</v>
      </c>
      <c r="E378" s="35" t="n">
        <v>64</v>
      </c>
      <c r="F378" s="35" t="s">
        <v>235</v>
      </c>
      <c r="G378" s="35" t="s">
        <v>216</v>
      </c>
      <c r="H378" s="35" t="s">
        <v>210</v>
      </c>
      <c r="I378" s="35" t="s">
        <v>201</v>
      </c>
      <c r="J378" s="35" t="n">
        <v>5</v>
      </c>
      <c r="K378" s="65" t="n">
        <v>21152.92</v>
      </c>
      <c r="L378" s="65" t="n">
        <v>105764.6</v>
      </c>
      <c r="M378" s="66" t="n">
        <f aca="false">DATE(YEAR(B378),MONTH(B378),1)</f>
        <v>45901</v>
      </c>
      <c r="N378" s="35" t="str">
        <f aca="false">IF(G378="","Unknown",G378)</f>
        <v>Patna</v>
      </c>
      <c r="O378" s="35" t="str">
        <f aca="false">IF(E378="","Unknown",IF(E378&lt;=25,"18-25",IF(E378&lt;=35,"26-35",IF(E378&lt;=45,"36-45",IF(E378&lt;=55,"46-55","56-65")))))</f>
        <v>56-65</v>
      </c>
      <c r="P378" s="35" t="n">
        <f aca="false">COUNTIF($C$2:$C$1001,C378)</f>
        <v>1</v>
      </c>
      <c r="Q378" s="35" t="n">
        <f aca="false">IF(COUNTIF($C$2:C378,C378)=1,1,0)</f>
        <v>1</v>
      </c>
    </row>
    <row r="379" customFormat="false" ht="15" hidden="false" customHeight="false" outlineLevel="0" collapsed="false">
      <c r="A379" s="35" t="s">
        <v>1263</v>
      </c>
      <c r="B379" s="64" t="n">
        <v>45775</v>
      </c>
      <c r="C379" s="35" t="s">
        <v>1264</v>
      </c>
      <c r="D379" s="35" t="s">
        <v>415</v>
      </c>
      <c r="E379" s="35" t="n">
        <v>22</v>
      </c>
      <c r="F379" s="35" t="s">
        <v>235</v>
      </c>
      <c r="G379" s="35" t="s">
        <v>222</v>
      </c>
      <c r="H379" s="35" t="s">
        <v>209</v>
      </c>
      <c r="I379" s="35" t="s">
        <v>200</v>
      </c>
      <c r="J379" s="35" t="n">
        <v>7</v>
      </c>
      <c r="K379" s="65" t="n">
        <v>20998.7</v>
      </c>
      <c r="L379" s="65" t="n">
        <v>146990.9</v>
      </c>
      <c r="M379" s="66" t="n">
        <f aca="false">DATE(YEAR(B379),MONTH(B379),1)</f>
        <v>45748</v>
      </c>
      <c r="N379" s="35" t="str">
        <f aca="false">IF(G379="","Unknown",G379)</f>
        <v>Pune</v>
      </c>
      <c r="O379" s="35" t="str">
        <f aca="false">IF(E379="","Unknown",IF(E379&lt;=25,"18-25",IF(E379&lt;=35,"26-35",IF(E379&lt;=45,"36-45",IF(E379&lt;=55,"46-55","56-65")))))</f>
        <v>18-25</v>
      </c>
      <c r="P379" s="35" t="n">
        <f aca="false">COUNTIF($C$2:$C$1001,C379)</f>
        <v>1</v>
      </c>
      <c r="Q379" s="35" t="n">
        <f aca="false">IF(COUNTIF($C$2:C379,C379)=1,1,0)</f>
        <v>1</v>
      </c>
    </row>
    <row r="380" customFormat="false" ht="15" hidden="false" customHeight="false" outlineLevel="0" collapsed="false">
      <c r="A380" s="35" t="s">
        <v>1265</v>
      </c>
      <c r="B380" s="64" t="n">
        <v>45751</v>
      </c>
      <c r="C380" s="35" t="s">
        <v>1266</v>
      </c>
      <c r="D380" s="35" t="s">
        <v>1267</v>
      </c>
      <c r="E380" s="35" t="n">
        <v>57</v>
      </c>
      <c r="F380" s="35" t="s">
        <v>234</v>
      </c>
      <c r="G380" s="35" t="s">
        <v>217</v>
      </c>
      <c r="H380" s="35" t="s">
        <v>211</v>
      </c>
      <c r="I380" s="35" t="s">
        <v>202</v>
      </c>
      <c r="J380" s="35" t="n">
        <v>6</v>
      </c>
      <c r="K380" s="65" t="n">
        <v>13054.61</v>
      </c>
      <c r="L380" s="65" t="n">
        <v>78327.66</v>
      </c>
      <c r="M380" s="66" t="n">
        <f aca="false">DATE(YEAR(B380),MONTH(B380),1)</f>
        <v>45748</v>
      </c>
      <c r="N380" s="35" t="str">
        <f aca="false">IF(G380="","Unknown",G380)</f>
        <v>Kolkata</v>
      </c>
      <c r="O380" s="35" t="str">
        <f aca="false">IF(E380="","Unknown",IF(E380&lt;=25,"18-25",IF(E380&lt;=35,"26-35",IF(E380&lt;=45,"36-45",IF(E380&lt;=55,"46-55","56-65")))))</f>
        <v>56-65</v>
      </c>
      <c r="P380" s="35" t="n">
        <f aca="false">COUNTIF($C$2:$C$1001,C380)</f>
        <v>1</v>
      </c>
      <c r="Q380" s="35" t="n">
        <f aca="false">IF(COUNTIF($C$2:C380,C380)=1,1,0)</f>
        <v>1</v>
      </c>
    </row>
    <row r="381" customFormat="false" ht="15" hidden="false" customHeight="false" outlineLevel="0" collapsed="false">
      <c r="A381" s="35" t="s">
        <v>1268</v>
      </c>
      <c r="B381" s="64" t="n">
        <v>45815</v>
      </c>
      <c r="C381" s="35" t="s">
        <v>1269</v>
      </c>
      <c r="D381" s="35" t="s">
        <v>1270</v>
      </c>
      <c r="E381" s="35" t="n">
        <v>53</v>
      </c>
      <c r="F381" s="35" t="s">
        <v>234</v>
      </c>
      <c r="G381" s="35" t="s">
        <v>222</v>
      </c>
      <c r="H381" s="35" t="s">
        <v>209</v>
      </c>
      <c r="I381" s="35" t="s">
        <v>200</v>
      </c>
      <c r="J381" s="35" t="n">
        <v>9</v>
      </c>
      <c r="K381" s="65" t="n">
        <v>46780.58</v>
      </c>
      <c r="L381" s="65" t="n">
        <v>421025.22</v>
      </c>
      <c r="M381" s="66" t="n">
        <f aca="false">DATE(YEAR(B381),MONTH(B381),1)</f>
        <v>45809</v>
      </c>
      <c r="N381" s="35" t="str">
        <f aca="false">IF(G381="","Unknown",G381)</f>
        <v>Pune</v>
      </c>
      <c r="O381" s="35" t="str">
        <f aca="false">IF(E381="","Unknown",IF(E381&lt;=25,"18-25",IF(E381&lt;=35,"26-35",IF(E381&lt;=45,"36-45",IF(E381&lt;=55,"46-55","56-65")))))</f>
        <v>46-55</v>
      </c>
      <c r="P381" s="35" t="n">
        <f aca="false">COUNTIF($C$2:$C$1001,C381)</f>
        <v>1</v>
      </c>
      <c r="Q381" s="35" t="n">
        <f aca="false">IF(COUNTIF($C$2:C381,C381)=1,1,0)</f>
        <v>1</v>
      </c>
    </row>
    <row r="382" customFormat="false" ht="15" hidden="false" customHeight="false" outlineLevel="0" collapsed="false">
      <c r="A382" s="35" t="s">
        <v>1271</v>
      </c>
      <c r="B382" s="64" t="n">
        <v>45946</v>
      </c>
      <c r="C382" s="35" t="s">
        <v>1272</v>
      </c>
      <c r="D382" s="35" t="s">
        <v>938</v>
      </c>
      <c r="E382" s="35" t="n">
        <v>35</v>
      </c>
      <c r="F382" s="35" t="s">
        <v>234</v>
      </c>
      <c r="G382" s="35" t="s">
        <v>217</v>
      </c>
      <c r="H382" s="35" t="s">
        <v>213</v>
      </c>
      <c r="I382" s="35" t="s">
        <v>204</v>
      </c>
      <c r="J382" s="35" t="n">
        <v>7</v>
      </c>
      <c r="K382" s="65" t="n">
        <v>34258.83</v>
      </c>
      <c r="L382" s="65" t="n">
        <v>239811.81</v>
      </c>
      <c r="M382" s="66" t="n">
        <f aca="false">DATE(YEAR(B382),MONTH(B382),1)</f>
        <v>45931</v>
      </c>
      <c r="N382" s="35" t="str">
        <f aca="false">IF(G382="","Unknown",G382)</f>
        <v>Kolkata</v>
      </c>
      <c r="O382" s="35" t="str">
        <f aca="false">IF(E382="","Unknown",IF(E382&lt;=25,"18-25",IF(E382&lt;=35,"26-35",IF(E382&lt;=45,"36-45",IF(E382&lt;=55,"46-55","56-65")))))</f>
        <v>26-35</v>
      </c>
      <c r="P382" s="35" t="n">
        <f aca="false">COUNTIF($C$2:$C$1001,C382)</f>
        <v>1</v>
      </c>
      <c r="Q382" s="35" t="n">
        <f aca="false">IF(COUNTIF($C$2:C382,C382)=1,1,0)</f>
        <v>1</v>
      </c>
    </row>
    <row r="383" customFormat="false" ht="15" hidden="false" customHeight="false" outlineLevel="0" collapsed="false">
      <c r="A383" s="35" t="s">
        <v>1273</v>
      </c>
      <c r="B383" s="64" t="n">
        <v>45894</v>
      </c>
      <c r="C383" s="35" t="s">
        <v>1274</v>
      </c>
      <c r="D383" s="35" t="s">
        <v>1275</v>
      </c>
      <c r="E383" s="35" t="n">
        <v>23</v>
      </c>
      <c r="F383" s="35" t="s">
        <v>234</v>
      </c>
      <c r="G383" s="35" t="s">
        <v>221</v>
      </c>
      <c r="H383" s="35" t="s">
        <v>209</v>
      </c>
      <c r="I383" s="35" t="s">
        <v>200</v>
      </c>
      <c r="J383" s="35" t="n">
        <v>7</v>
      </c>
      <c r="K383" s="65" t="n">
        <v>17055.84</v>
      </c>
      <c r="L383" s="65" t="n">
        <v>119390.88</v>
      </c>
      <c r="M383" s="66" t="n">
        <f aca="false">DATE(YEAR(B383),MONTH(B383),1)</f>
        <v>45870</v>
      </c>
      <c r="N383" s="35" t="str">
        <f aca="false">IF(G383="","Unknown",G383)</f>
        <v>Delhi</v>
      </c>
      <c r="O383" s="35" t="str">
        <f aca="false">IF(E383="","Unknown",IF(E383&lt;=25,"18-25",IF(E383&lt;=35,"26-35",IF(E383&lt;=45,"36-45",IF(E383&lt;=55,"46-55","56-65")))))</f>
        <v>18-25</v>
      </c>
      <c r="P383" s="35" t="n">
        <f aca="false">COUNTIF($C$2:$C$1001,C383)</f>
        <v>1</v>
      </c>
      <c r="Q383" s="35" t="n">
        <f aca="false">IF(COUNTIF($C$2:C383,C383)=1,1,0)</f>
        <v>1</v>
      </c>
    </row>
    <row r="384" customFormat="false" ht="15" hidden="false" customHeight="false" outlineLevel="0" collapsed="false">
      <c r="A384" s="35" t="s">
        <v>1276</v>
      </c>
      <c r="B384" s="64" t="n">
        <v>45945</v>
      </c>
      <c r="C384" s="35" t="s">
        <v>1277</v>
      </c>
      <c r="D384" s="35" t="s">
        <v>278</v>
      </c>
      <c r="E384" s="35" t="n">
        <v>40</v>
      </c>
      <c r="F384" s="35" t="s">
        <v>235</v>
      </c>
      <c r="G384" s="35" t="s">
        <v>216</v>
      </c>
      <c r="H384" s="35" t="s">
        <v>212</v>
      </c>
      <c r="I384" s="35" t="s">
        <v>203</v>
      </c>
      <c r="J384" s="35" t="n">
        <v>10</v>
      </c>
      <c r="K384" s="65" t="n">
        <v>7876.48</v>
      </c>
      <c r="L384" s="65" t="n">
        <v>78764.8</v>
      </c>
      <c r="M384" s="66" t="n">
        <f aca="false">DATE(YEAR(B384),MONTH(B384),1)</f>
        <v>45931</v>
      </c>
      <c r="N384" s="35" t="str">
        <f aca="false">IF(G384="","Unknown",G384)</f>
        <v>Patna</v>
      </c>
      <c r="O384" s="35" t="str">
        <f aca="false">IF(E384="","Unknown",IF(E384&lt;=25,"18-25",IF(E384&lt;=35,"26-35",IF(E384&lt;=45,"36-45",IF(E384&lt;=55,"46-55","56-65")))))</f>
        <v>36-45</v>
      </c>
      <c r="P384" s="35" t="n">
        <f aca="false">COUNTIF($C$2:$C$1001,C384)</f>
        <v>1</v>
      </c>
      <c r="Q384" s="35" t="n">
        <f aca="false">IF(COUNTIF($C$2:C384,C384)=1,1,0)</f>
        <v>1</v>
      </c>
    </row>
    <row r="385" customFormat="false" ht="15" hidden="false" customHeight="false" outlineLevel="0" collapsed="false">
      <c r="A385" s="35" t="s">
        <v>1278</v>
      </c>
      <c r="B385" s="64" t="n">
        <v>45985</v>
      </c>
      <c r="C385" s="35" t="s">
        <v>1279</v>
      </c>
      <c r="D385" s="35" t="s">
        <v>1280</v>
      </c>
      <c r="E385" s="35" t="n">
        <v>53</v>
      </c>
      <c r="F385" s="35" t="s">
        <v>235</v>
      </c>
      <c r="G385" s="35" t="s">
        <v>221</v>
      </c>
      <c r="H385" s="35" t="s">
        <v>209</v>
      </c>
      <c r="I385" s="35" t="s">
        <v>200</v>
      </c>
      <c r="J385" s="35" t="n">
        <v>10</v>
      </c>
      <c r="K385" s="65" t="n">
        <v>34976.79</v>
      </c>
      <c r="L385" s="65" t="n">
        <v>349767.9</v>
      </c>
      <c r="M385" s="66" t="n">
        <f aca="false">DATE(YEAR(B385),MONTH(B385),1)</f>
        <v>45962</v>
      </c>
      <c r="N385" s="35" t="str">
        <f aca="false">IF(G385="","Unknown",G385)</f>
        <v>Delhi</v>
      </c>
      <c r="O385" s="35" t="str">
        <f aca="false">IF(E385="","Unknown",IF(E385&lt;=25,"18-25",IF(E385&lt;=35,"26-35",IF(E385&lt;=45,"36-45",IF(E385&lt;=55,"46-55","56-65")))))</f>
        <v>46-55</v>
      </c>
      <c r="P385" s="35" t="n">
        <f aca="false">COUNTIF($C$2:$C$1001,C385)</f>
        <v>1</v>
      </c>
      <c r="Q385" s="35" t="n">
        <f aca="false">IF(COUNTIF($C$2:C385,C385)=1,1,0)</f>
        <v>1</v>
      </c>
    </row>
    <row r="386" customFormat="false" ht="15" hidden="false" customHeight="false" outlineLevel="0" collapsed="false">
      <c r="A386" s="35" t="s">
        <v>1281</v>
      </c>
      <c r="B386" s="64" t="n">
        <v>45838</v>
      </c>
      <c r="C386" s="35" t="s">
        <v>1282</v>
      </c>
      <c r="D386" s="35" t="s">
        <v>1283</v>
      </c>
      <c r="E386" s="35" t="n">
        <v>34</v>
      </c>
      <c r="F386" s="35" t="s">
        <v>235</v>
      </c>
      <c r="G386" s="35" t="s">
        <v>221</v>
      </c>
      <c r="H386" s="35" t="s">
        <v>212</v>
      </c>
      <c r="I386" s="35" t="s">
        <v>203</v>
      </c>
      <c r="J386" s="35" t="n">
        <v>8</v>
      </c>
      <c r="K386" s="65" t="n">
        <v>38672.34</v>
      </c>
      <c r="L386" s="65" t="n">
        <v>309378.72</v>
      </c>
      <c r="M386" s="66" t="n">
        <f aca="false">DATE(YEAR(B386),MONTH(B386),1)</f>
        <v>45809</v>
      </c>
      <c r="N386" s="35" t="str">
        <f aca="false">IF(G386="","Unknown",G386)</f>
        <v>Delhi</v>
      </c>
      <c r="O386" s="35" t="str">
        <f aca="false">IF(E386="","Unknown",IF(E386&lt;=25,"18-25",IF(E386&lt;=35,"26-35",IF(E386&lt;=45,"36-45",IF(E386&lt;=55,"46-55","56-65")))))</f>
        <v>26-35</v>
      </c>
      <c r="P386" s="35" t="n">
        <f aca="false">COUNTIF($C$2:$C$1001,C386)</f>
        <v>1</v>
      </c>
      <c r="Q386" s="35" t="n">
        <f aca="false">IF(COUNTIF($C$2:C386,C386)=1,1,0)</f>
        <v>1</v>
      </c>
    </row>
    <row r="387" customFormat="false" ht="15" hidden="false" customHeight="false" outlineLevel="0" collapsed="false">
      <c r="A387" s="35" t="s">
        <v>1284</v>
      </c>
      <c r="B387" s="64" t="n">
        <v>45825</v>
      </c>
      <c r="C387" s="35" t="s">
        <v>1285</v>
      </c>
      <c r="D387" s="35" t="s">
        <v>1286</v>
      </c>
      <c r="E387" s="35" t="n">
        <v>18</v>
      </c>
      <c r="F387" s="35" t="s">
        <v>235</v>
      </c>
      <c r="G387" s="35" t="s">
        <v>217</v>
      </c>
      <c r="H387" s="35" t="s">
        <v>213</v>
      </c>
      <c r="I387" s="35" t="s">
        <v>204</v>
      </c>
      <c r="J387" s="35" t="n">
        <v>1</v>
      </c>
      <c r="K387" s="65" t="n">
        <v>48695.59</v>
      </c>
      <c r="L387" s="65" t="n">
        <v>48695.59</v>
      </c>
      <c r="M387" s="66" t="n">
        <f aca="false">DATE(YEAR(B387),MONTH(B387),1)</f>
        <v>45809</v>
      </c>
      <c r="N387" s="35" t="str">
        <f aca="false">IF(G387="","Unknown",G387)</f>
        <v>Kolkata</v>
      </c>
      <c r="O387" s="35" t="str">
        <f aca="false">IF(E387="","Unknown",IF(E387&lt;=25,"18-25",IF(E387&lt;=35,"26-35",IF(E387&lt;=45,"36-45",IF(E387&lt;=55,"46-55","56-65")))))</f>
        <v>18-25</v>
      </c>
      <c r="P387" s="35" t="n">
        <f aca="false">COUNTIF($C$2:$C$1001,C387)</f>
        <v>2</v>
      </c>
      <c r="Q387" s="35" t="n">
        <f aca="false">IF(COUNTIF($C$2:C387,C387)=1,1,0)</f>
        <v>1</v>
      </c>
    </row>
    <row r="388" customFormat="false" ht="15" hidden="false" customHeight="false" outlineLevel="0" collapsed="false">
      <c r="A388" s="35" t="s">
        <v>1287</v>
      </c>
      <c r="B388" s="64" t="n">
        <v>45934</v>
      </c>
      <c r="C388" s="35" t="s">
        <v>1288</v>
      </c>
      <c r="D388" s="35" t="s">
        <v>944</v>
      </c>
      <c r="E388" s="35" t="n">
        <v>39</v>
      </c>
      <c r="F388" s="35" t="s">
        <v>234</v>
      </c>
      <c r="G388" s="35" t="s">
        <v>220</v>
      </c>
      <c r="H388" s="35" t="s">
        <v>210</v>
      </c>
      <c r="I388" s="35" t="s">
        <v>201</v>
      </c>
      <c r="J388" s="35" t="n">
        <v>9</v>
      </c>
      <c r="K388" s="65" t="n">
        <v>41871.43</v>
      </c>
      <c r="L388" s="65" t="n">
        <v>376842.87</v>
      </c>
      <c r="M388" s="66" t="n">
        <f aca="false">DATE(YEAR(B388),MONTH(B388),1)</f>
        <v>45931</v>
      </c>
      <c r="N388" s="35" t="str">
        <f aca="false">IF(G388="","Unknown",G388)</f>
        <v>Hyderabad</v>
      </c>
      <c r="O388" s="35" t="str">
        <f aca="false">IF(E388="","Unknown",IF(E388&lt;=25,"18-25",IF(E388&lt;=35,"26-35",IF(E388&lt;=45,"36-45",IF(E388&lt;=55,"46-55","56-65")))))</f>
        <v>36-45</v>
      </c>
      <c r="P388" s="35" t="n">
        <f aca="false">COUNTIF($C$2:$C$1001,C388)</f>
        <v>1</v>
      </c>
      <c r="Q388" s="35" t="n">
        <f aca="false">IF(COUNTIF($C$2:C388,C388)=1,1,0)</f>
        <v>1</v>
      </c>
    </row>
    <row r="389" customFormat="false" ht="15" hidden="false" customHeight="false" outlineLevel="0" collapsed="false">
      <c r="A389" s="35" t="s">
        <v>1289</v>
      </c>
      <c r="B389" s="64" t="n">
        <v>45899</v>
      </c>
      <c r="C389" s="35" t="s">
        <v>1290</v>
      </c>
      <c r="D389" s="35" t="s">
        <v>794</v>
      </c>
      <c r="E389" s="35" t="n">
        <v>64</v>
      </c>
      <c r="F389" s="35" t="s">
        <v>234</v>
      </c>
      <c r="G389" s="35" t="s">
        <v>216</v>
      </c>
      <c r="H389" s="35" t="s">
        <v>209</v>
      </c>
      <c r="I389" s="35" t="s">
        <v>200</v>
      </c>
      <c r="J389" s="35" t="n">
        <v>6</v>
      </c>
      <c r="K389" s="65" t="n">
        <v>26179.81</v>
      </c>
      <c r="L389" s="65" t="n">
        <v>157078.86</v>
      </c>
      <c r="M389" s="66" t="n">
        <f aca="false">DATE(YEAR(B389),MONTH(B389),1)</f>
        <v>45870</v>
      </c>
      <c r="N389" s="35" t="str">
        <f aca="false">IF(G389="","Unknown",G389)</f>
        <v>Patna</v>
      </c>
      <c r="O389" s="35" t="str">
        <f aca="false">IF(E389="","Unknown",IF(E389&lt;=25,"18-25",IF(E389&lt;=35,"26-35",IF(E389&lt;=45,"36-45",IF(E389&lt;=55,"46-55","56-65")))))</f>
        <v>56-65</v>
      </c>
      <c r="P389" s="35" t="n">
        <f aca="false">COUNTIF($C$2:$C$1001,C389)</f>
        <v>1</v>
      </c>
      <c r="Q389" s="35" t="n">
        <f aca="false">IF(COUNTIF($C$2:C389,C389)=1,1,0)</f>
        <v>1</v>
      </c>
    </row>
    <row r="390" customFormat="false" ht="15" hidden="false" customHeight="false" outlineLevel="0" collapsed="false">
      <c r="A390" s="35" t="s">
        <v>1291</v>
      </c>
      <c r="B390" s="64" t="n">
        <v>45739</v>
      </c>
      <c r="C390" s="35" t="s">
        <v>1292</v>
      </c>
      <c r="D390" s="35" t="s">
        <v>1070</v>
      </c>
      <c r="E390" s="35" t="n">
        <v>52</v>
      </c>
      <c r="F390" s="35" t="s">
        <v>234</v>
      </c>
      <c r="G390" s="35" t="s">
        <v>221</v>
      </c>
      <c r="H390" s="35" t="s">
        <v>213</v>
      </c>
      <c r="I390" s="35" t="s">
        <v>204</v>
      </c>
      <c r="J390" s="35" t="n">
        <v>1</v>
      </c>
      <c r="K390" s="65" t="n">
        <v>23398.57</v>
      </c>
      <c r="L390" s="65" t="n">
        <v>23398.57</v>
      </c>
      <c r="M390" s="66" t="n">
        <f aca="false">DATE(YEAR(B390),MONTH(B390),1)</f>
        <v>45717</v>
      </c>
      <c r="N390" s="35" t="str">
        <f aca="false">IF(G390="","Unknown",G390)</f>
        <v>Delhi</v>
      </c>
      <c r="O390" s="35" t="str">
        <f aca="false">IF(E390="","Unknown",IF(E390&lt;=25,"18-25",IF(E390&lt;=35,"26-35",IF(E390&lt;=45,"36-45",IF(E390&lt;=55,"46-55","56-65")))))</f>
        <v>46-55</v>
      </c>
      <c r="P390" s="35" t="n">
        <f aca="false">COUNTIF($C$2:$C$1001,C390)</f>
        <v>1</v>
      </c>
      <c r="Q390" s="35" t="n">
        <f aca="false">IF(COUNTIF($C$2:C390,C390)=1,1,0)</f>
        <v>1</v>
      </c>
    </row>
    <row r="391" customFormat="false" ht="15" hidden="false" customHeight="false" outlineLevel="0" collapsed="false">
      <c r="A391" s="35" t="s">
        <v>1293</v>
      </c>
      <c r="B391" s="64" t="n">
        <v>45746</v>
      </c>
      <c r="C391" s="35" t="s">
        <v>923</v>
      </c>
      <c r="D391" s="35" t="s">
        <v>350</v>
      </c>
      <c r="E391" s="35" t="n">
        <v>20</v>
      </c>
      <c r="F391" s="35" t="s">
        <v>234</v>
      </c>
      <c r="G391" s="35" t="s">
        <v>217</v>
      </c>
      <c r="H391" s="35" t="s">
        <v>208</v>
      </c>
      <c r="I391" s="35" t="s">
        <v>200</v>
      </c>
      <c r="J391" s="35" t="n">
        <v>5</v>
      </c>
      <c r="K391" s="65" t="n">
        <v>24596.56</v>
      </c>
      <c r="L391" s="65" t="n">
        <v>122982.8</v>
      </c>
      <c r="M391" s="66" t="n">
        <f aca="false">DATE(YEAR(B391),MONTH(B391),1)</f>
        <v>45717</v>
      </c>
      <c r="N391" s="35" t="str">
        <f aca="false">IF(G391="","Unknown",G391)</f>
        <v>Kolkata</v>
      </c>
      <c r="O391" s="35" t="str">
        <f aca="false">IF(E391="","Unknown",IF(E391&lt;=25,"18-25",IF(E391&lt;=35,"26-35",IF(E391&lt;=45,"36-45",IF(E391&lt;=55,"46-55","56-65")))))</f>
        <v>18-25</v>
      </c>
      <c r="P391" s="35" t="n">
        <f aca="false">COUNTIF($C$2:$C$1001,C391)</f>
        <v>2</v>
      </c>
      <c r="Q391" s="35" t="n">
        <f aca="false">IF(COUNTIF($C$2:C391,C391)=1,1,0)</f>
        <v>0</v>
      </c>
    </row>
    <row r="392" customFormat="false" ht="15" hidden="false" customHeight="false" outlineLevel="0" collapsed="false">
      <c r="A392" s="35" t="s">
        <v>1294</v>
      </c>
      <c r="B392" s="64" t="n">
        <v>45880</v>
      </c>
      <c r="C392" s="35" t="s">
        <v>1295</v>
      </c>
      <c r="D392" s="35" t="s">
        <v>308</v>
      </c>
      <c r="E392" s="35" t="n">
        <v>37</v>
      </c>
      <c r="F392" s="35" t="s">
        <v>235</v>
      </c>
      <c r="G392" s="35" t="s">
        <v>218</v>
      </c>
      <c r="H392" s="35" t="s">
        <v>213</v>
      </c>
      <c r="I392" s="35" t="s">
        <v>204</v>
      </c>
      <c r="J392" s="35" t="n">
        <v>1</v>
      </c>
      <c r="K392" s="65" t="n">
        <v>35804.49</v>
      </c>
      <c r="L392" s="65" t="n">
        <v>35804.49</v>
      </c>
      <c r="M392" s="66" t="n">
        <f aca="false">DATE(YEAR(B392),MONTH(B392),1)</f>
        <v>45870</v>
      </c>
      <c r="N392" s="35" t="str">
        <f aca="false">IF(G392="","Unknown",G392)</f>
        <v>Bengaluru</v>
      </c>
      <c r="O392" s="35" t="str">
        <f aca="false">IF(E392="","Unknown",IF(E392&lt;=25,"18-25",IF(E392&lt;=35,"26-35",IF(E392&lt;=45,"36-45",IF(E392&lt;=55,"46-55","56-65")))))</f>
        <v>36-45</v>
      </c>
      <c r="P392" s="35" t="n">
        <f aca="false">COUNTIF($C$2:$C$1001,C392)</f>
        <v>1</v>
      </c>
      <c r="Q392" s="35" t="n">
        <f aca="false">IF(COUNTIF($C$2:C392,C392)=1,1,0)</f>
        <v>1</v>
      </c>
    </row>
    <row r="393" customFormat="false" ht="15" hidden="false" customHeight="false" outlineLevel="0" collapsed="false">
      <c r="A393" s="35" t="s">
        <v>1296</v>
      </c>
      <c r="B393" s="64" t="n">
        <v>45909</v>
      </c>
      <c r="C393" s="35" t="s">
        <v>1297</v>
      </c>
      <c r="D393" s="35" t="s">
        <v>1298</v>
      </c>
      <c r="E393" s="35" t="n">
        <v>24</v>
      </c>
      <c r="F393" s="35" t="s">
        <v>235</v>
      </c>
      <c r="G393" s="35" t="s">
        <v>220</v>
      </c>
      <c r="H393" s="35" t="s">
        <v>209</v>
      </c>
      <c r="I393" s="35" t="s">
        <v>200</v>
      </c>
      <c r="J393" s="35" t="n">
        <v>3</v>
      </c>
      <c r="K393" s="65" t="n">
        <v>36239.15</v>
      </c>
      <c r="L393" s="65" t="n">
        <v>108717.45</v>
      </c>
      <c r="M393" s="66" t="n">
        <f aca="false">DATE(YEAR(B393),MONTH(B393),1)</f>
        <v>45901</v>
      </c>
      <c r="N393" s="35" t="str">
        <f aca="false">IF(G393="","Unknown",G393)</f>
        <v>Hyderabad</v>
      </c>
      <c r="O393" s="35" t="str">
        <f aca="false">IF(E393="","Unknown",IF(E393&lt;=25,"18-25",IF(E393&lt;=35,"26-35",IF(E393&lt;=45,"36-45",IF(E393&lt;=55,"46-55","56-65")))))</f>
        <v>18-25</v>
      </c>
      <c r="P393" s="35" t="n">
        <f aca="false">COUNTIF($C$2:$C$1001,C393)</f>
        <v>1</v>
      </c>
      <c r="Q393" s="35" t="n">
        <f aca="false">IF(COUNTIF($C$2:C393,C393)=1,1,0)</f>
        <v>1</v>
      </c>
    </row>
    <row r="394" customFormat="false" ht="15" hidden="false" customHeight="false" outlineLevel="0" collapsed="false">
      <c r="A394" s="35" t="s">
        <v>1299</v>
      </c>
      <c r="B394" s="64" t="n">
        <v>45983</v>
      </c>
      <c r="C394" s="35" t="s">
        <v>1300</v>
      </c>
      <c r="D394" s="35" t="s">
        <v>1301</v>
      </c>
      <c r="E394" s="35" t="n">
        <v>27</v>
      </c>
      <c r="F394" s="35" t="s">
        <v>235</v>
      </c>
      <c r="G394" s="35" t="s">
        <v>222</v>
      </c>
      <c r="H394" s="35" t="s">
        <v>213</v>
      </c>
      <c r="I394" s="35" t="s">
        <v>204</v>
      </c>
      <c r="J394" s="35" t="n">
        <v>5</v>
      </c>
      <c r="K394" s="65" t="n">
        <v>21143.07</v>
      </c>
      <c r="L394" s="65" t="n">
        <v>105715.35</v>
      </c>
      <c r="M394" s="66" t="n">
        <f aca="false">DATE(YEAR(B394),MONTH(B394),1)</f>
        <v>45962</v>
      </c>
      <c r="N394" s="35" t="str">
        <f aca="false">IF(G394="","Unknown",G394)</f>
        <v>Pune</v>
      </c>
      <c r="O394" s="35" t="str">
        <f aca="false">IF(E394="","Unknown",IF(E394&lt;=25,"18-25",IF(E394&lt;=35,"26-35",IF(E394&lt;=45,"36-45",IF(E394&lt;=55,"46-55","56-65")))))</f>
        <v>26-35</v>
      </c>
      <c r="P394" s="35" t="n">
        <f aca="false">COUNTIF($C$2:$C$1001,C394)</f>
        <v>1</v>
      </c>
      <c r="Q394" s="35" t="n">
        <f aca="false">IF(COUNTIF($C$2:C394,C394)=1,1,0)</f>
        <v>1</v>
      </c>
    </row>
    <row r="395" customFormat="false" ht="15" hidden="false" customHeight="false" outlineLevel="0" collapsed="false">
      <c r="A395" s="35" t="s">
        <v>1302</v>
      </c>
      <c r="B395" s="64" t="n">
        <v>45748</v>
      </c>
      <c r="C395" s="35" t="s">
        <v>1303</v>
      </c>
      <c r="D395" s="35" t="s">
        <v>1304</v>
      </c>
      <c r="E395" s="35" t="n">
        <v>47</v>
      </c>
      <c r="F395" s="35" t="s">
        <v>234</v>
      </c>
      <c r="G395" s="35" t="s">
        <v>218</v>
      </c>
      <c r="H395" s="35" t="s">
        <v>211</v>
      </c>
      <c r="I395" s="35" t="s">
        <v>202</v>
      </c>
      <c r="J395" s="35" t="n">
        <v>8</v>
      </c>
      <c r="K395" s="65" t="n">
        <v>30277.06</v>
      </c>
      <c r="L395" s="65" t="n">
        <v>242216.48</v>
      </c>
      <c r="M395" s="66" t="n">
        <f aca="false">DATE(YEAR(B395),MONTH(B395),1)</f>
        <v>45748</v>
      </c>
      <c r="N395" s="35" t="str">
        <f aca="false">IF(G395="","Unknown",G395)</f>
        <v>Bengaluru</v>
      </c>
      <c r="O395" s="35" t="str">
        <f aca="false">IF(E395="","Unknown",IF(E395&lt;=25,"18-25",IF(E395&lt;=35,"26-35",IF(E395&lt;=45,"36-45",IF(E395&lt;=55,"46-55","56-65")))))</f>
        <v>46-55</v>
      </c>
      <c r="P395" s="35" t="n">
        <f aca="false">COUNTIF($C$2:$C$1001,C395)</f>
        <v>1</v>
      </c>
      <c r="Q395" s="35" t="n">
        <f aca="false">IF(COUNTIF($C$2:C395,C395)=1,1,0)</f>
        <v>1</v>
      </c>
    </row>
    <row r="396" customFormat="false" ht="15" hidden="false" customHeight="false" outlineLevel="0" collapsed="false">
      <c r="A396" s="35" t="s">
        <v>1305</v>
      </c>
      <c r="B396" s="64" t="n">
        <v>45956</v>
      </c>
      <c r="C396" s="35" t="s">
        <v>405</v>
      </c>
      <c r="D396" s="35" t="s">
        <v>1306</v>
      </c>
      <c r="E396" s="35" t="n">
        <v>53</v>
      </c>
      <c r="F396" s="35" t="s">
        <v>235</v>
      </c>
      <c r="G396" s="35" t="s">
        <v>219</v>
      </c>
      <c r="H396" s="35" t="s">
        <v>208</v>
      </c>
      <c r="I396" s="35" t="s">
        <v>200</v>
      </c>
      <c r="J396" s="35" t="n">
        <v>4</v>
      </c>
      <c r="K396" s="65" t="n">
        <v>41264.56</v>
      </c>
      <c r="L396" s="65" t="n">
        <v>165058.24</v>
      </c>
      <c r="M396" s="66" t="n">
        <f aca="false">DATE(YEAR(B396),MONTH(B396),1)</f>
        <v>45931</v>
      </c>
      <c r="N396" s="35" t="str">
        <f aca="false">IF(G396="","Unknown",G396)</f>
        <v>Mumbai</v>
      </c>
      <c r="O396" s="35" t="str">
        <f aca="false">IF(E396="","Unknown",IF(E396&lt;=25,"18-25",IF(E396&lt;=35,"26-35",IF(E396&lt;=45,"36-45",IF(E396&lt;=55,"46-55","56-65")))))</f>
        <v>46-55</v>
      </c>
      <c r="P396" s="35" t="n">
        <f aca="false">COUNTIF($C$2:$C$1001,C396)</f>
        <v>2</v>
      </c>
      <c r="Q396" s="35" t="n">
        <f aca="false">IF(COUNTIF($C$2:C396,C396)=1,1,0)</f>
        <v>0</v>
      </c>
    </row>
    <row r="397" customFormat="false" ht="15" hidden="false" customHeight="false" outlineLevel="0" collapsed="false">
      <c r="A397" s="35" t="s">
        <v>1307</v>
      </c>
      <c r="B397" s="64" t="n">
        <v>45700</v>
      </c>
      <c r="C397" s="35" t="s">
        <v>1308</v>
      </c>
      <c r="D397" s="35" t="s">
        <v>677</v>
      </c>
      <c r="E397" s="35" t="n">
        <v>35</v>
      </c>
      <c r="F397" s="35" t="s">
        <v>235</v>
      </c>
      <c r="G397" s="35" t="s">
        <v>223</v>
      </c>
      <c r="H397" s="35" t="s">
        <v>210</v>
      </c>
      <c r="I397" s="35" t="s">
        <v>201</v>
      </c>
      <c r="J397" s="35" t="n">
        <v>5</v>
      </c>
      <c r="K397" s="65" t="n">
        <v>11761.9</v>
      </c>
      <c r="L397" s="65" t="n">
        <v>58809.5</v>
      </c>
      <c r="M397" s="66" t="n">
        <f aca="false">DATE(YEAR(B397),MONTH(B397),1)</f>
        <v>45689</v>
      </c>
      <c r="N397" s="35" t="str">
        <f aca="false">IF(G397="","Unknown",G397)</f>
        <v>Gaya</v>
      </c>
      <c r="O397" s="35" t="str">
        <f aca="false">IF(E397="","Unknown",IF(E397&lt;=25,"18-25",IF(E397&lt;=35,"26-35",IF(E397&lt;=45,"36-45",IF(E397&lt;=55,"46-55","56-65")))))</f>
        <v>26-35</v>
      </c>
      <c r="P397" s="35" t="n">
        <f aca="false">COUNTIF($C$2:$C$1001,C397)</f>
        <v>1</v>
      </c>
      <c r="Q397" s="35" t="n">
        <f aca="false">IF(COUNTIF($C$2:C397,C397)=1,1,0)</f>
        <v>1</v>
      </c>
    </row>
    <row r="398" customFormat="false" ht="15" hidden="false" customHeight="false" outlineLevel="0" collapsed="false">
      <c r="A398" s="35" t="s">
        <v>1309</v>
      </c>
      <c r="B398" s="64" t="n">
        <v>45723</v>
      </c>
      <c r="C398" s="35" t="s">
        <v>1310</v>
      </c>
      <c r="D398" s="35" t="s">
        <v>1311</v>
      </c>
      <c r="E398" s="35" t="n">
        <v>58</v>
      </c>
      <c r="F398" s="35" t="s">
        <v>235</v>
      </c>
      <c r="G398" s="35" t="s">
        <v>218</v>
      </c>
      <c r="H398" s="35" t="s">
        <v>209</v>
      </c>
      <c r="I398" s="35" t="s">
        <v>200</v>
      </c>
      <c r="J398" s="35" t="n">
        <v>9</v>
      </c>
      <c r="K398" s="65" t="n">
        <v>48807.37</v>
      </c>
      <c r="L398" s="65" t="n">
        <v>439266.33</v>
      </c>
      <c r="M398" s="66" t="n">
        <f aca="false">DATE(YEAR(B398),MONTH(B398),1)</f>
        <v>45717</v>
      </c>
      <c r="N398" s="35" t="str">
        <f aca="false">IF(G398="","Unknown",G398)</f>
        <v>Bengaluru</v>
      </c>
      <c r="O398" s="35" t="str">
        <f aca="false">IF(E398="","Unknown",IF(E398&lt;=25,"18-25",IF(E398&lt;=35,"26-35",IF(E398&lt;=45,"36-45",IF(E398&lt;=55,"46-55","56-65")))))</f>
        <v>56-65</v>
      </c>
      <c r="P398" s="35" t="n">
        <f aca="false">COUNTIF($C$2:$C$1001,C398)</f>
        <v>1</v>
      </c>
      <c r="Q398" s="35" t="n">
        <f aca="false">IF(COUNTIF($C$2:C398,C398)=1,1,0)</f>
        <v>1</v>
      </c>
    </row>
    <row r="399" customFormat="false" ht="15" hidden="false" customHeight="false" outlineLevel="0" collapsed="false">
      <c r="A399" s="35" t="s">
        <v>1312</v>
      </c>
      <c r="B399" s="64" t="n">
        <v>45822</v>
      </c>
      <c r="C399" s="35" t="s">
        <v>1313</v>
      </c>
      <c r="D399" s="35" t="s">
        <v>1314</v>
      </c>
      <c r="E399" s="35" t="n">
        <v>63</v>
      </c>
      <c r="F399" s="35" t="s">
        <v>235</v>
      </c>
      <c r="G399" s="35" t="s">
        <v>218</v>
      </c>
      <c r="H399" s="35" t="s">
        <v>211</v>
      </c>
      <c r="I399" s="35" t="s">
        <v>202</v>
      </c>
      <c r="J399" s="35" t="n">
        <v>4</v>
      </c>
      <c r="K399" s="65" t="n">
        <v>1895.99</v>
      </c>
      <c r="L399" s="65" t="n">
        <v>7583.96</v>
      </c>
      <c r="M399" s="66" t="n">
        <f aca="false">DATE(YEAR(B399),MONTH(B399),1)</f>
        <v>45809</v>
      </c>
      <c r="N399" s="35" t="str">
        <f aca="false">IF(G399="","Unknown",G399)</f>
        <v>Bengaluru</v>
      </c>
      <c r="O399" s="35" t="str">
        <f aca="false">IF(E399="","Unknown",IF(E399&lt;=25,"18-25",IF(E399&lt;=35,"26-35",IF(E399&lt;=45,"36-45",IF(E399&lt;=55,"46-55","56-65")))))</f>
        <v>56-65</v>
      </c>
      <c r="P399" s="35" t="n">
        <f aca="false">COUNTIF($C$2:$C$1001,C399)</f>
        <v>1</v>
      </c>
      <c r="Q399" s="35" t="n">
        <f aca="false">IF(COUNTIF($C$2:C399,C399)=1,1,0)</f>
        <v>1</v>
      </c>
    </row>
    <row r="400" customFormat="false" ht="15" hidden="false" customHeight="false" outlineLevel="0" collapsed="false">
      <c r="A400" s="35" t="s">
        <v>1315</v>
      </c>
      <c r="B400" s="64" t="n">
        <v>45767</v>
      </c>
      <c r="C400" s="35" t="s">
        <v>1316</v>
      </c>
      <c r="D400" s="35" t="s">
        <v>1317</v>
      </c>
      <c r="E400" s="35"/>
      <c r="F400" s="35" t="s">
        <v>235</v>
      </c>
      <c r="G400" s="35" t="s">
        <v>220</v>
      </c>
      <c r="H400" s="35" t="s">
        <v>210</v>
      </c>
      <c r="I400" s="35" t="s">
        <v>201</v>
      </c>
      <c r="J400" s="35" t="n">
        <v>3</v>
      </c>
      <c r="K400" s="65" t="n">
        <v>26269.62</v>
      </c>
      <c r="L400" s="65" t="n">
        <v>78808.86</v>
      </c>
      <c r="M400" s="66" t="n">
        <f aca="false">DATE(YEAR(B400),MONTH(B400),1)</f>
        <v>45748</v>
      </c>
      <c r="N400" s="35" t="str">
        <f aca="false">IF(G400="","Unknown",G400)</f>
        <v>Hyderabad</v>
      </c>
      <c r="O400" s="35" t="str">
        <f aca="false">IF(E400="","Unknown",IF(E400&lt;=25,"18-25",IF(E400&lt;=35,"26-35",IF(E400&lt;=45,"36-45",IF(E400&lt;=55,"46-55","56-65")))))</f>
        <v>Unknown</v>
      </c>
      <c r="P400" s="35" t="n">
        <f aca="false">COUNTIF($C$2:$C$1001,C400)</f>
        <v>1</v>
      </c>
      <c r="Q400" s="35" t="n">
        <f aca="false">IF(COUNTIF($C$2:C400,C400)=1,1,0)</f>
        <v>1</v>
      </c>
    </row>
    <row r="401" customFormat="false" ht="15" hidden="false" customHeight="false" outlineLevel="0" collapsed="false">
      <c r="A401" s="35" t="s">
        <v>1318</v>
      </c>
      <c r="B401" s="64" t="n">
        <v>45670</v>
      </c>
      <c r="C401" s="35" t="s">
        <v>1319</v>
      </c>
      <c r="D401" s="35" t="s">
        <v>581</v>
      </c>
      <c r="E401" s="35" t="n">
        <v>28</v>
      </c>
      <c r="F401" s="35" t="s">
        <v>234</v>
      </c>
      <c r="G401" s="35" t="s">
        <v>216</v>
      </c>
      <c r="H401" s="35" t="s">
        <v>209</v>
      </c>
      <c r="I401" s="35" t="s">
        <v>200</v>
      </c>
      <c r="J401" s="35" t="n">
        <v>2</v>
      </c>
      <c r="K401" s="65" t="n">
        <v>1793.29</v>
      </c>
      <c r="L401" s="65" t="n">
        <v>3586.58</v>
      </c>
      <c r="M401" s="66" t="n">
        <f aca="false">DATE(YEAR(B401),MONTH(B401),1)</f>
        <v>45658</v>
      </c>
      <c r="N401" s="35" t="str">
        <f aca="false">IF(G401="","Unknown",G401)</f>
        <v>Patna</v>
      </c>
      <c r="O401" s="35" t="str">
        <f aca="false">IF(E401="","Unknown",IF(E401&lt;=25,"18-25",IF(E401&lt;=35,"26-35",IF(E401&lt;=45,"36-45",IF(E401&lt;=55,"46-55","56-65")))))</f>
        <v>26-35</v>
      </c>
      <c r="P401" s="35" t="n">
        <f aca="false">COUNTIF($C$2:$C$1001,C401)</f>
        <v>1</v>
      </c>
      <c r="Q401" s="35" t="n">
        <f aca="false">IF(COUNTIF($C$2:C401,C401)=1,1,0)</f>
        <v>1</v>
      </c>
    </row>
    <row r="402" customFormat="false" ht="15" hidden="false" customHeight="false" outlineLevel="0" collapsed="false">
      <c r="A402" s="35" t="s">
        <v>1320</v>
      </c>
      <c r="B402" s="64" t="n">
        <v>45752</v>
      </c>
      <c r="C402" s="35" t="s">
        <v>1321</v>
      </c>
      <c r="D402" s="35" t="s">
        <v>800</v>
      </c>
      <c r="E402" s="35" t="n">
        <v>40</v>
      </c>
      <c r="F402" s="35" t="s">
        <v>235</v>
      </c>
      <c r="G402" s="35" t="s">
        <v>219</v>
      </c>
      <c r="H402" s="35" t="s">
        <v>213</v>
      </c>
      <c r="I402" s="35" t="s">
        <v>204</v>
      </c>
      <c r="J402" s="35" t="n">
        <v>5</v>
      </c>
      <c r="K402" s="65" t="n">
        <v>18223.06</v>
      </c>
      <c r="L402" s="65" t="n">
        <v>91115.3</v>
      </c>
      <c r="M402" s="66" t="n">
        <f aca="false">DATE(YEAR(B402),MONTH(B402),1)</f>
        <v>45748</v>
      </c>
      <c r="N402" s="35" t="str">
        <f aca="false">IF(G402="","Unknown",G402)</f>
        <v>Mumbai</v>
      </c>
      <c r="O402" s="35" t="str">
        <f aca="false">IF(E402="","Unknown",IF(E402&lt;=25,"18-25",IF(E402&lt;=35,"26-35",IF(E402&lt;=45,"36-45",IF(E402&lt;=55,"46-55","56-65")))))</f>
        <v>36-45</v>
      </c>
      <c r="P402" s="35" t="n">
        <f aca="false">COUNTIF($C$2:$C$1001,C402)</f>
        <v>1</v>
      </c>
      <c r="Q402" s="35" t="n">
        <f aca="false">IF(COUNTIF($C$2:C402,C402)=1,1,0)</f>
        <v>1</v>
      </c>
    </row>
    <row r="403" customFormat="false" ht="15" hidden="false" customHeight="false" outlineLevel="0" collapsed="false">
      <c r="A403" s="35" t="s">
        <v>1322</v>
      </c>
      <c r="B403" s="64" t="n">
        <v>45710</v>
      </c>
      <c r="C403" s="35" t="s">
        <v>1323</v>
      </c>
      <c r="D403" s="35" t="s">
        <v>1324</v>
      </c>
      <c r="E403" s="35" t="n">
        <v>25</v>
      </c>
      <c r="F403" s="35" t="s">
        <v>235</v>
      </c>
      <c r="G403" s="35" t="s">
        <v>223</v>
      </c>
      <c r="H403" s="35" t="s">
        <v>210</v>
      </c>
      <c r="I403" s="35" t="s">
        <v>201</v>
      </c>
      <c r="J403" s="35" t="n">
        <v>7</v>
      </c>
      <c r="K403" s="65" t="n">
        <v>43850.91</v>
      </c>
      <c r="L403" s="65" t="n">
        <v>306956.37</v>
      </c>
      <c r="M403" s="66" t="n">
        <f aca="false">DATE(YEAR(B403),MONTH(B403),1)</f>
        <v>45689</v>
      </c>
      <c r="N403" s="35" t="str">
        <f aca="false">IF(G403="","Unknown",G403)</f>
        <v>Gaya</v>
      </c>
      <c r="O403" s="35" t="str">
        <f aca="false">IF(E403="","Unknown",IF(E403&lt;=25,"18-25",IF(E403&lt;=35,"26-35",IF(E403&lt;=45,"36-45",IF(E403&lt;=55,"46-55","56-65")))))</f>
        <v>18-25</v>
      </c>
      <c r="P403" s="35" t="n">
        <f aca="false">COUNTIF($C$2:$C$1001,C403)</f>
        <v>1</v>
      </c>
      <c r="Q403" s="35" t="n">
        <f aca="false">IF(COUNTIF($C$2:C403,C403)=1,1,0)</f>
        <v>1</v>
      </c>
    </row>
    <row r="404" customFormat="false" ht="15" hidden="false" customHeight="false" outlineLevel="0" collapsed="false">
      <c r="A404" s="35" t="s">
        <v>1325</v>
      </c>
      <c r="B404" s="64" t="n">
        <v>45667</v>
      </c>
      <c r="C404" s="35" t="s">
        <v>1326</v>
      </c>
      <c r="D404" s="35" t="s">
        <v>1327</v>
      </c>
      <c r="E404" s="35" t="n">
        <v>53</v>
      </c>
      <c r="F404" s="35" t="s">
        <v>235</v>
      </c>
      <c r="G404" s="35" t="s">
        <v>221</v>
      </c>
      <c r="H404" s="35" t="s">
        <v>210</v>
      </c>
      <c r="I404" s="35" t="s">
        <v>201</v>
      </c>
      <c r="J404" s="35" t="n">
        <v>1</v>
      </c>
      <c r="K404" s="65" t="n">
        <v>15617.29</v>
      </c>
      <c r="L404" s="65" t="n">
        <v>15617.29</v>
      </c>
      <c r="M404" s="66" t="n">
        <f aca="false">DATE(YEAR(B404),MONTH(B404),1)</f>
        <v>45658</v>
      </c>
      <c r="N404" s="35" t="str">
        <f aca="false">IF(G404="","Unknown",G404)</f>
        <v>Delhi</v>
      </c>
      <c r="O404" s="35" t="str">
        <f aca="false">IF(E404="","Unknown",IF(E404&lt;=25,"18-25",IF(E404&lt;=35,"26-35",IF(E404&lt;=45,"36-45",IF(E404&lt;=55,"46-55","56-65")))))</f>
        <v>46-55</v>
      </c>
      <c r="P404" s="35" t="n">
        <f aca="false">COUNTIF($C$2:$C$1001,C404)</f>
        <v>1</v>
      </c>
      <c r="Q404" s="35" t="n">
        <f aca="false">IF(COUNTIF($C$2:C404,C404)=1,1,0)</f>
        <v>1</v>
      </c>
    </row>
    <row r="405" customFormat="false" ht="15" hidden="false" customHeight="false" outlineLevel="0" collapsed="false">
      <c r="A405" s="35" t="s">
        <v>1328</v>
      </c>
      <c r="B405" s="64" t="n">
        <v>45752</v>
      </c>
      <c r="C405" s="35" t="s">
        <v>1329</v>
      </c>
      <c r="D405" s="35" t="s">
        <v>1330</v>
      </c>
      <c r="E405" s="35" t="n">
        <v>37</v>
      </c>
      <c r="F405" s="35" t="s">
        <v>234</v>
      </c>
      <c r="G405" s="35" t="s">
        <v>216</v>
      </c>
      <c r="H405" s="35" t="s">
        <v>213</v>
      </c>
      <c r="I405" s="35" t="s">
        <v>204</v>
      </c>
      <c r="J405" s="35" t="n">
        <v>2</v>
      </c>
      <c r="K405" s="65" t="n">
        <v>36062.36</v>
      </c>
      <c r="L405" s="65" t="n">
        <v>72124.72</v>
      </c>
      <c r="M405" s="66" t="n">
        <f aca="false">DATE(YEAR(B405),MONTH(B405),1)</f>
        <v>45748</v>
      </c>
      <c r="N405" s="35" t="str">
        <f aca="false">IF(G405="","Unknown",G405)</f>
        <v>Patna</v>
      </c>
      <c r="O405" s="35" t="str">
        <f aca="false">IF(E405="","Unknown",IF(E405&lt;=25,"18-25",IF(E405&lt;=35,"26-35",IF(E405&lt;=45,"36-45",IF(E405&lt;=55,"46-55","56-65")))))</f>
        <v>36-45</v>
      </c>
      <c r="P405" s="35" t="n">
        <f aca="false">COUNTIF($C$2:$C$1001,C405)</f>
        <v>1</v>
      </c>
      <c r="Q405" s="35" t="n">
        <f aca="false">IF(COUNTIF($C$2:C405,C405)=1,1,0)</f>
        <v>1</v>
      </c>
    </row>
    <row r="406" customFormat="false" ht="15" hidden="false" customHeight="false" outlineLevel="0" collapsed="false">
      <c r="A406" s="35" t="s">
        <v>1331</v>
      </c>
      <c r="B406" s="64" t="n">
        <v>45737</v>
      </c>
      <c r="C406" s="35" t="s">
        <v>1332</v>
      </c>
      <c r="D406" s="35" t="s">
        <v>1333</v>
      </c>
      <c r="E406" s="35" t="n">
        <v>46</v>
      </c>
      <c r="F406" s="35" t="s">
        <v>234</v>
      </c>
      <c r="G406" s="35" t="s">
        <v>216</v>
      </c>
      <c r="H406" s="35" t="s">
        <v>209</v>
      </c>
      <c r="I406" s="35" t="s">
        <v>200</v>
      </c>
      <c r="J406" s="35" t="n">
        <v>2</v>
      </c>
      <c r="K406" s="65" t="n">
        <v>24194.96</v>
      </c>
      <c r="L406" s="65" t="n">
        <v>48389.92</v>
      </c>
      <c r="M406" s="66" t="n">
        <f aca="false">DATE(YEAR(B406),MONTH(B406),1)</f>
        <v>45717</v>
      </c>
      <c r="N406" s="35" t="str">
        <f aca="false">IF(G406="","Unknown",G406)</f>
        <v>Patna</v>
      </c>
      <c r="O406" s="35" t="str">
        <f aca="false">IF(E406="","Unknown",IF(E406&lt;=25,"18-25",IF(E406&lt;=35,"26-35",IF(E406&lt;=45,"36-45",IF(E406&lt;=55,"46-55","56-65")))))</f>
        <v>46-55</v>
      </c>
      <c r="P406" s="35" t="n">
        <f aca="false">COUNTIF($C$2:$C$1001,C406)</f>
        <v>1</v>
      </c>
      <c r="Q406" s="35" t="n">
        <f aca="false">IF(COUNTIF($C$2:C406,C406)=1,1,0)</f>
        <v>1</v>
      </c>
    </row>
    <row r="407" customFormat="false" ht="15" hidden="false" customHeight="false" outlineLevel="0" collapsed="false">
      <c r="A407" s="35" t="s">
        <v>1334</v>
      </c>
      <c r="B407" s="64" t="n">
        <v>45837</v>
      </c>
      <c r="C407" s="35" t="s">
        <v>1335</v>
      </c>
      <c r="D407" s="35" t="s">
        <v>752</v>
      </c>
      <c r="E407" s="35" t="n">
        <v>48</v>
      </c>
      <c r="F407" s="35" t="s">
        <v>234</v>
      </c>
      <c r="G407" s="35" t="s">
        <v>219</v>
      </c>
      <c r="H407" s="35" t="s">
        <v>213</v>
      </c>
      <c r="I407" s="35" t="s">
        <v>204</v>
      </c>
      <c r="J407" s="35" t="n">
        <v>3</v>
      </c>
      <c r="K407" s="65" t="n">
        <v>46253.94</v>
      </c>
      <c r="L407" s="65" t="n">
        <v>138761.82</v>
      </c>
      <c r="M407" s="66" t="n">
        <f aca="false">DATE(YEAR(B407),MONTH(B407),1)</f>
        <v>45809</v>
      </c>
      <c r="N407" s="35" t="str">
        <f aca="false">IF(G407="","Unknown",G407)</f>
        <v>Mumbai</v>
      </c>
      <c r="O407" s="35" t="str">
        <f aca="false">IF(E407="","Unknown",IF(E407&lt;=25,"18-25",IF(E407&lt;=35,"26-35",IF(E407&lt;=45,"36-45",IF(E407&lt;=55,"46-55","56-65")))))</f>
        <v>46-55</v>
      </c>
      <c r="P407" s="35" t="n">
        <f aca="false">COUNTIF($C$2:$C$1001,C407)</f>
        <v>1</v>
      </c>
      <c r="Q407" s="35" t="n">
        <f aca="false">IF(COUNTIF($C$2:C407,C407)=1,1,0)</f>
        <v>1</v>
      </c>
    </row>
    <row r="408" customFormat="false" ht="15" hidden="false" customHeight="false" outlineLevel="0" collapsed="false">
      <c r="A408" s="35" t="s">
        <v>1336</v>
      </c>
      <c r="B408" s="64" t="n">
        <v>45716</v>
      </c>
      <c r="C408" s="35" t="s">
        <v>1337</v>
      </c>
      <c r="D408" s="35" t="s">
        <v>415</v>
      </c>
      <c r="E408" s="35" t="n">
        <v>64</v>
      </c>
      <c r="F408" s="35" t="s">
        <v>235</v>
      </c>
      <c r="G408" s="35" t="s">
        <v>220</v>
      </c>
      <c r="H408" s="35" t="s">
        <v>212</v>
      </c>
      <c r="I408" s="35" t="s">
        <v>203</v>
      </c>
      <c r="J408" s="35" t="n">
        <v>1</v>
      </c>
      <c r="K408" s="65" t="n">
        <v>22534.47</v>
      </c>
      <c r="L408" s="65" t="n">
        <v>22534.47</v>
      </c>
      <c r="M408" s="66" t="n">
        <f aca="false">DATE(YEAR(B408),MONTH(B408),1)</f>
        <v>45689</v>
      </c>
      <c r="N408" s="35" t="str">
        <f aca="false">IF(G408="","Unknown",G408)</f>
        <v>Hyderabad</v>
      </c>
      <c r="O408" s="35" t="str">
        <f aca="false">IF(E408="","Unknown",IF(E408&lt;=25,"18-25",IF(E408&lt;=35,"26-35",IF(E408&lt;=45,"36-45",IF(E408&lt;=55,"46-55","56-65")))))</f>
        <v>56-65</v>
      </c>
      <c r="P408" s="35" t="n">
        <f aca="false">COUNTIF($C$2:$C$1001,C408)</f>
        <v>1</v>
      </c>
      <c r="Q408" s="35" t="n">
        <f aca="false">IF(COUNTIF($C$2:C408,C408)=1,1,0)</f>
        <v>1</v>
      </c>
    </row>
    <row r="409" customFormat="false" ht="15" hidden="false" customHeight="false" outlineLevel="0" collapsed="false">
      <c r="A409" s="35" t="s">
        <v>1338</v>
      </c>
      <c r="B409" s="64" t="n">
        <v>45680</v>
      </c>
      <c r="C409" s="35" t="s">
        <v>1339</v>
      </c>
      <c r="D409" s="35" t="s">
        <v>573</v>
      </c>
      <c r="E409" s="35" t="n">
        <v>64</v>
      </c>
      <c r="F409" s="35" t="s">
        <v>235</v>
      </c>
      <c r="G409" s="35" t="s">
        <v>218</v>
      </c>
      <c r="H409" s="35" t="s">
        <v>213</v>
      </c>
      <c r="I409" s="35" t="s">
        <v>204</v>
      </c>
      <c r="J409" s="35" t="n">
        <v>5</v>
      </c>
      <c r="K409" s="65" t="n">
        <v>23003.28</v>
      </c>
      <c r="L409" s="65" t="n">
        <v>115016.4</v>
      </c>
      <c r="M409" s="66" t="n">
        <f aca="false">DATE(YEAR(B409),MONTH(B409),1)</f>
        <v>45658</v>
      </c>
      <c r="N409" s="35" t="str">
        <f aca="false">IF(G409="","Unknown",G409)</f>
        <v>Bengaluru</v>
      </c>
      <c r="O409" s="35" t="str">
        <f aca="false">IF(E409="","Unknown",IF(E409&lt;=25,"18-25",IF(E409&lt;=35,"26-35",IF(E409&lt;=45,"36-45",IF(E409&lt;=55,"46-55","56-65")))))</f>
        <v>56-65</v>
      </c>
      <c r="P409" s="35" t="n">
        <f aca="false">COUNTIF($C$2:$C$1001,C409)</f>
        <v>2</v>
      </c>
      <c r="Q409" s="35" t="n">
        <f aca="false">IF(COUNTIF($C$2:C409,C409)=1,1,0)</f>
        <v>1</v>
      </c>
    </row>
    <row r="410" customFormat="false" ht="15" hidden="false" customHeight="false" outlineLevel="0" collapsed="false">
      <c r="A410" s="35" t="s">
        <v>1340</v>
      </c>
      <c r="B410" s="64" t="n">
        <v>45845</v>
      </c>
      <c r="C410" s="35" t="s">
        <v>1341</v>
      </c>
      <c r="D410" s="35" t="s">
        <v>1342</v>
      </c>
      <c r="E410" s="35" t="n">
        <v>32</v>
      </c>
      <c r="F410" s="35" t="s">
        <v>235</v>
      </c>
      <c r="G410" s="35" t="s">
        <v>222</v>
      </c>
      <c r="H410" s="35" t="s">
        <v>208</v>
      </c>
      <c r="I410" s="35" t="s">
        <v>200</v>
      </c>
      <c r="J410" s="35" t="n">
        <v>5</v>
      </c>
      <c r="K410" s="65" t="n">
        <v>6619.66</v>
      </c>
      <c r="L410" s="65" t="n">
        <v>33098.3</v>
      </c>
      <c r="M410" s="66" t="n">
        <f aca="false">DATE(YEAR(B410),MONTH(B410),1)</f>
        <v>45839</v>
      </c>
      <c r="N410" s="35" t="str">
        <f aca="false">IF(G410="","Unknown",G410)</f>
        <v>Pune</v>
      </c>
      <c r="O410" s="35" t="str">
        <f aca="false">IF(E410="","Unknown",IF(E410&lt;=25,"18-25",IF(E410&lt;=35,"26-35",IF(E410&lt;=45,"36-45",IF(E410&lt;=55,"46-55","56-65")))))</f>
        <v>26-35</v>
      </c>
      <c r="P410" s="35" t="n">
        <f aca="false">COUNTIF($C$2:$C$1001,C410)</f>
        <v>1</v>
      </c>
      <c r="Q410" s="35" t="n">
        <f aca="false">IF(COUNTIF($C$2:C410,C410)=1,1,0)</f>
        <v>1</v>
      </c>
    </row>
    <row r="411" customFormat="false" ht="15" hidden="false" customHeight="false" outlineLevel="0" collapsed="false">
      <c r="A411" s="35" t="s">
        <v>1343</v>
      </c>
      <c r="B411" s="64" t="n">
        <v>45849</v>
      </c>
      <c r="C411" s="35" t="s">
        <v>1344</v>
      </c>
      <c r="D411" s="35" t="s">
        <v>1099</v>
      </c>
      <c r="E411" s="35" t="n">
        <v>58</v>
      </c>
      <c r="F411" s="35" t="s">
        <v>234</v>
      </c>
      <c r="G411" s="35" t="s">
        <v>217</v>
      </c>
      <c r="H411" s="35" t="s">
        <v>210</v>
      </c>
      <c r="I411" s="35" t="s">
        <v>201</v>
      </c>
      <c r="J411" s="35" t="n">
        <v>4</v>
      </c>
      <c r="K411" s="65" t="n">
        <v>7231.17</v>
      </c>
      <c r="L411" s="65" t="n">
        <v>28924.68</v>
      </c>
      <c r="M411" s="66" t="n">
        <f aca="false">DATE(YEAR(B411),MONTH(B411),1)</f>
        <v>45839</v>
      </c>
      <c r="N411" s="35" t="str">
        <f aca="false">IF(G411="","Unknown",G411)</f>
        <v>Kolkata</v>
      </c>
      <c r="O411" s="35" t="str">
        <f aca="false">IF(E411="","Unknown",IF(E411&lt;=25,"18-25",IF(E411&lt;=35,"26-35",IF(E411&lt;=45,"36-45",IF(E411&lt;=55,"46-55","56-65")))))</f>
        <v>56-65</v>
      </c>
      <c r="P411" s="35" t="n">
        <f aca="false">COUNTIF($C$2:$C$1001,C411)</f>
        <v>1</v>
      </c>
      <c r="Q411" s="35" t="n">
        <f aca="false">IF(COUNTIF($C$2:C411,C411)=1,1,0)</f>
        <v>1</v>
      </c>
    </row>
    <row r="412" customFormat="false" ht="15" hidden="false" customHeight="false" outlineLevel="0" collapsed="false">
      <c r="A412" s="35" t="s">
        <v>1345</v>
      </c>
      <c r="B412" s="64" t="n">
        <v>46007</v>
      </c>
      <c r="C412" s="35" t="s">
        <v>1346</v>
      </c>
      <c r="D412" s="35" t="s">
        <v>1347</v>
      </c>
      <c r="E412" s="35" t="n">
        <v>24</v>
      </c>
      <c r="F412" s="35" t="s">
        <v>234</v>
      </c>
      <c r="G412" s="35" t="s">
        <v>216</v>
      </c>
      <c r="H412" s="35" t="s">
        <v>210</v>
      </c>
      <c r="I412" s="35" t="s">
        <v>201</v>
      </c>
      <c r="J412" s="35" t="n">
        <v>10</v>
      </c>
      <c r="K412" s="65" t="n">
        <v>14441.39</v>
      </c>
      <c r="L412" s="65" t="n">
        <v>144413.9</v>
      </c>
      <c r="M412" s="66" t="n">
        <f aca="false">DATE(YEAR(B412),MONTH(B412),1)</f>
        <v>45992</v>
      </c>
      <c r="N412" s="35" t="str">
        <f aca="false">IF(G412="","Unknown",G412)</f>
        <v>Patna</v>
      </c>
      <c r="O412" s="35" t="str">
        <f aca="false">IF(E412="","Unknown",IF(E412&lt;=25,"18-25",IF(E412&lt;=35,"26-35",IF(E412&lt;=45,"36-45",IF(E412&lt;=55,"46-55","56-65")))))</f>
        <v>18-25</v>
      </c>
      <c r="P412" s="35" t="n">
        <f aca="false">COUNTIF($C$2:$C$1001,C412)</f>
        <v>2</v>
      </c>
      <c r="Q412" s="35" t="n">
        <f aca="false">IF(COUNTIF($C$2:C412,C412)=1,1,0)</f>
        <v>1</v>
      </c>
    </row>
    <row r="413" customFormat="false" ht="15" hidden="false" customHeight="false" outlineLevel="0" collapsed="false">
      <c r="A413" s="35" t="s">
        <v>1348</v>
      </c>
      <c r="B413" s="64" t="n">
        <v>45994</v>
      </c>
      <c r="C413" s="35" t="s">
        <v>1349</v>
      </c>
      <c r="D413" s="35" t="s">
        <v>447</v>
      </c>
      <c r="E413" s="35" t="n">
        <v>58</v>
      </c>
      <c r="F413" s="35" t="s">
        <v>234</v>
      </c>
      <c r="G413" s="35" t="s">
        <v>216</v>
      </c>
      <c r="H413" s="35" t="s">
        <v>208</v>
      </c>
      <c r="I413" s="35" t="s">
        <v>200</v>
      </c>
      <c r="J413" s="35" t="n">
        <v>4</v>
      </c>
      <c r="K413" s="65" t="n">
        <v>39636.15</v>
      </c>
      <c r="L413" s="65" t="n">
        <v>158544.6</v>
      </c>
      <c r="M413" s="66" t="n">
        <f aca="false">DATE(YEAR(B413),MONTH(B413),1)</f>
        <v>45992</v>
      </c>
      <c r="N413" s="35" t="str">
        <f aca="false">IF(G413="","Unknown",G413)</f>
        <v>Patna</v>
      </c>
      <c r="O413" s="35" t="str">
        <f aca="false">IF(E413="","Unknown",IF(E413&lt;=25,"18-25",IF(E413&lt;=35,"26-35",IF(E413&lt;=45,"36-45",IF(E413&lt;=55,"46-55","56-65")))))</f>
        <v>56-65</v>
      </c>
      <c r="P413" s="35" t="n">
        <f aca="false">COUNTIF($C$2:$C$1001,C413)</f>
        <v>1</v>
      </c>
      <c r="Q413" s="35" t="n">
        <f aca="false">IF(COUNTIF($C$2:C413,C413)=1,1,0)</f>
        <v>1</v>
      </c>
    </row>
    <row r="414" customFormat="false" ht="15" hidden="false" customHeight="false" outlineLevel="0" collapsed="false">
      <c r="A414" s="35" t="s">
        <v>1350</v>
      </c>
      <c r="B414" s="64" t="n">
        <v>45856</v>
      </c>
      <c r="C414" s="35" t="s">
        <v>1351</v>
      </c>
      <c r="D414" s="35" t="s">
        <v>638</v>
      </c>
      <c r="E414" s="35" t="n">
        <v>33</v>
      </c>
      <c r="F414" s="35" t="s">
        <v>235</v>
      </c>
      <c r="G414" s="35" t="s">
        <v>216</v>
      </c>
      <c r="H414" s="35" t="s">
        <v>213</v>
      </c>
      <c r="I414" s="35" t="s">
        <v>204</v>
      </c>
      <c r="J414" s="35" t="n">
        <v>10</v>
      </c>
      <c r="K414" s="65" t="n">
        <v>6633.6</v>
      </c>
      <c r="L414" s="65" t="n">
        <v>66336</v>
      </c>
      <c r="M414" s="66" t="n">
        <f aca="false">DATE(YEAR(B414),MONTH(B414),1)</f>
        <v>45839</v>
      </c>
      <c r="N414" s="35" t="str">
        <f aca="false">IF(G414="","Unknown",G414)</f>
        <v>Patna</v>
      </c>
      <c r="O414" s="35" t="str">
        <f aca="false">IF(E414="","Unknown",IF(E414&lt;=25,"18-25",IF(E414&lt;=35,"26-35",IF(E414&lt;=45,"36-45",IF(E414&lt;=55,"46-55","56-65")))))</f>
        <v>26-35</v>
      </c>
      <c r="P414" s="35" t="n">
        <f aca="false">COUNTIF($C$2:$C$1001,C414)</f>
        <v>1</v>
      </c>
      <c r="Q414" s="35" t="n">
        <f aca="false">IF(COUNTIF($C$2:C414,C414)=1,1,0)</f>
        <v>1</v>
      </c>
    </row>
    <row r="415" customFormat="false" ht="15" hidden="false" customHeight="false" outlineLevel="0" collapsed="false">
      <c r="A415" s="35" t="s">
        <v>1352</v>
      </c>
      <c r="B415" s="64" t="n">
        <v>45673</v>
      </c>
      <c r="C415" s="35" t="s">
        <v>1353</v>
      </c>
      <c r="D415" s="35" t="s">
        <v>1123</v>
      </c>
      <c r="E415" s="35" t="n">
        <v>46</v>
      </c>
      <c r="F415" s="35" t="s">
        <v>235</v>
      </c>
      <c r="G415" s="35" t="s">
        <v>223</v>
      </c>
      <c r="H415" s="35" t="s">
        <v>209</v>
      </c>
      <c r="I415" s="35" t="s">
        <v>200</v>
      </c>
      <c r="J415" s="35" t="n">
        <v>6</v>
      </c>
      <c r="K415" s="65" t="n">
        <v>31722.52</v>
      </c>
      <c r="L415" s="65" t="n">
        <v>190335.12</v>
      </c>
      <c r="M415" s="66" t="n">
        <f aca="false">DATE(YEAR(B415),MONTH(B415),1)</f>
        <v>45658</v>
      </c>
      <c r="N415" s="35" t="str">
        <f aca="false">IF(G415="","Unknown",G415)</f>
        <v>Gaya</v>
      </c>
      <c r="O415" s="35" t="str">
        <f aca="false">IF(E415="","Unknown",IF(E415&lt;=25,"18-25",IF(E415&lt;=35,"26-35",IF(E415&lt;=45,"36-45",IF(E415&lt;=55,"46-55","56-65")))))</f>
        <v>46-55</v>
      </c>
      <c r="P415" s="35" t="n">
        <f aca="false">COUNTIF($C$2:$C$1001,C415)</f>
        <v>1</v>
      </c>
      <c r="Q415" s="35" t="n">
        <f aca="false">IF(COUNTIF($C$2:C415,C415)=1,1,0)</f>
        <v>1</v>
      </c>
    </row>
    <row r="416" customFormat="false" ht="15" hidden="false" customHeight="false" outlineLevel="0" collapsed="false">
      <c r="A416" s="35" t="s">
        <v>1354</v>
      </c>
      <c r="B416" s="64" t="n">
        <v>45838</v>
      </c>
      <c r="C416" s="35" t="s">
        <v>1355</v>
      </c>
      <c r="D416" s="35" t="s">
        <v>326</v>
      </c>
      <c r="E416" s="35" t="n">
        <v>62</v>
      </c>
      <c r="F416" s="35" t="s">
        <v>235</v>
      </c>
      <c r="G416" s="35" t="s">
        <v>223</v>
      </c>
      <c r="H416" s="35" t="s">
        <v>211</v>
      </c>
      <c r="I416" s="35" t="s">
        <v>202</v>
      </c>
      <c r="J416" s="35" t="n">
        <v>3</v>
      </c>
      <c r="K416" s="65" t="n">
        <v>24990.09</v>
      </c>
      <c r="L416" s="65" t="n">
        <v>74970.27</v>
      </c>
      <c r="M416" s="66" t="n">
        <f aca="false">DATE(YEAR(B416),MONTH(B416),1)</f>
        <v>45809</v>
      </c>
      <c r="N416" s="35" t="str">
        <f aca="false">IF(G416="","Unknown",G416)</f>
        <v>Gaya</v>
      </c>
      <c r="O416" s="35" t="str">
        <f aca="false">IF(E416="","Unknown",IF(E416&lt;=25,"18-25",IF(E416&lt;=35,"26-35",IF(E416&lt;=45,"36-45",IF(E416&lt;=55,"46-55","56-65")))))</f>
        <v>56-65</v>
      </c>
      <c r="P416" s="35" t="n">
        <f aca="false">COUNTIF($C$2:$C$1001,C416)</f>
        <v>1</v>
      </c>
      <c r="Q416" s="35" t="n">
        <f aca="false">IF(COUNTIF($C$2:C416,C416)=1,1,0)</f>
        <v>1</v>
      </c>
    </row>
    <row r="417" customFormat="false" ht="15" hidden="false" customHeight="false" outlineLevel="0" collapsed="false">
      <c r="A417" s="35" t="s">
        <v>1356</v>
      </c>
      <c r="B417" s="64" t="n">
        <v>45741</v>
      </c>
      <c r="C417" s="35" t="s">
        <v>1357</v>
      </c>
      <c r="D417" s="35" t="s">
        <v>701</v>
      </c>
      <c r="E417" s="35" t="n">
        <v>56</v>
      </c>
      <c r="F417" s="35" t="s">
        <v>234</v>
      </c>
      <c r="G417" s="35" t="s">
        <v>218</v>
      </c>
      <c r="H417" s="35" t="s">
        <v>212</v>
      </c>
      <c r="I417" s="35" t="s">
        <v>203</v>
      </c>
      <c r="J417" s="35" t="n">
        <v>6</v>
      </c>
      <c r="K417" s="65" t="n">
        <v>26716.59</v>
      </c>
      <c r="L417" s="65" t="n">
        <v>160299.54</v>
      </c>
      <c r="M417" s="66" t="n">
        <f aca="false">DATE(YEAR(B417),MONTH(B417),1)</f>
        <v>45717</v>
      </c>
      <c r="N417" s="35" t="str">
        <f aca="false">IF(G417="","Unknown",G417)</f>
        <v>Bengaluru</v>
      </c>
      <c r="O417" s="35" t="str">
        <f aca="false">IF(E417="","Unknown",IF(E417&lt;=25,"18-25",IF(E417&lt;=35,"26-35",IF(E417&lt;=45,"36-45",IF(E417&lt;=55,"46-55","56-65")))))</f>
        <v>56-65</v>
      </c>
      <c r="P417" s="35" t="n">
        <f aca="false">COUNTIF($C$2:$C$1001,C417)</f>
        <v>1</v>
      </c>
      <c r="Q417" s="35" t="n">
        <f aca="false">IF(COUNTIF($C$2:C417,C417)=1,1,0)</f>
        <v>1</v>
      </c>
    </row>
    <row r="418" customFormat="false" ht="15" hidden="false" customHeight="false" outlineLevel="0" collapsed="false">
      <c r="A418" s="35" t="s">
        <v>1358</v>
      </c>
      <c r="B418" s="64" t="n">
        <v>45812</v>
      </c>
      <c r="C418" s="35" t="s">
        <v>1359</v>
      </c>
      <c r="D418" s="35" t="s">
        <v>797</v>
      </c>
      <c r="E418" s="35" t="n">
        <v>29</v>
      </c>
      <c r="F418" s="35" t="s">
        <v>235</v>
      </c>
      <c r="G418" s="35" t="s">
        <v>217</v>
      </c>
      <c r="H418" s="35" t="s">
        <v>209</v>
      </c>
      <c r="I418" s="35" t="s">
        <v>200</v>
      </c>
      <c r="J418" s="35" t="n">
        <v>8</v>
      </c>
      <c r="K418" s="65" t="n">
        <v>28813.93</v>
      </c>
      <c r="L418" s="65" t="n">
        <v>230511.44</v>
      </c>
      <c r="M418" s="66" t="n">
        <f aca="false">DATE(YEAR(B418),MONTH(B418),1)</f>
        <v>45809</v>
      </c>
      <c r="N418" s="35" t="str">
        <f aca="false">IF(G418="","Unknown",G418)</f>
        <v>Kolkata</v>
      </c>
      <c r="O418" s="35" t="str">
        <f aca="false">IF(E418="","Unknown",IF(E418&lt;=25,"18-25",IF(E418&lt;=35,"26-35",IF(E418&lt;=45,"36-45",IF(E418&lt;=55,"46-55","56-65")))))</f>
        <v>26-35</v>
      </c>
      <c r="P418" s="35" t="n">
        <f aca="false">COUNTIF($C$2:$C$1001,C418)</f>
        <v>2</v>
      </c>
      <c r="Q418" s="35" t="n">
        <f aca="false">IF(COUNTIF($C$2:C418,C418)=1,1,0)</f>
        <v>1</v>
      </c>
    </row>
    <row r="419" customFormat="false" ht="15" hidden="false" customHeight="false" outlineLevel="0" collapsed="false">
      <c r="A419" s="35" t="s">
        <v>1360</v>
      </c>
      <c r="B419" s="64" t="n">
        <v>45890</v>
      </c>
      <c r="C419" s="35" t="s">
        <v>1361</v>
      </c>
      <c r="D419" s="35" t="s">
        <v>779</v>
      </c>
      <c r="E419" s="35" t="n">
        <v>52</v>
      </c>
      <c r="F419" s="35" t="s">
        <v>234</v>
      </c>
      <c r="G419" s="35" t="s">
        <v>218</v>
      </c>
      <c r="H419" s="35" t="s">
        <v>213</v>
      </c>
      <c r="I419" s="35" t="s">
        <v>204</v>
      </c>
      <c r="J419" s="35" t="n">
        <v>2</v>
      </c>
      <c r="K419" s="65" t="n">
        <v>2209.43</v>
      </c>
      <c r="L419" s="65" t="n">
        <v>4418.86</v>
      </c>
      <c r="M419" s="66" t="n">
        <f aca="false">DATE(YEAR(B419),MONTH(B419),1)</f>
        <v>45870</v>
      </c>
      <c r="N419" s="35" t="str">
        <f aca="false">IF(G419="","Unknown",G419)</f>
        <v>Bengaluru</v>
      </c>
      <c r="O419" s="35" t="str">
        <f aca="false">IF(E419="","Unknown",IF(E419&lt;=25,"18-25",IF(E419&lt;=35,"26-35",IF(E419&lt;=45,"36-45",IF(E419&lt;=55,"46-55","56-65")))))</f>
        <v>46-55</v>
      </c>
      <c r="P419" s="35" t="n">
        <f aca="false">COUNTIF($C$2:$C$1001,C419)</f>
        <v>1</v>
      </c>
      <c r="Q419" s="35" t="n">
        <f aca="false">IF(COUNTIF($C$2:C419,C419)=1,1,0)</f>
        <v>1</v>
      </c>
    </row>
    <row r="420" customFormat="false" ht="15" hidden="false" customHeight="false" outlineLevel="0" collapsed="false">
      <c r="A420" s="35" t="s">
        <v>1362</v>
      </c>
      <c r="B420" s="64" t="n">
        <v>45789</v>
      </c>
      <c r="C420" s="35" t="s">
        <v>1363</v>
      </c>
      <c r="D420" s="35" t="s">
        <v>1364</v>
      </c>
      <c r="E420" s="35" t="n">
        <v>51</v>
      </c>
      <c r="F420" s="35" t="s">
        <v>234</v>
      </c>
      <c r="G420" s="35" t="s">
        <v>221</v>
      </c>
      <c r="H420" s="35" t="s">
        <v>209</v>
      </c>
      <c r="I420" s="35" t="s">
        <v>200</v>
      </c>
      <c r="J420" s="35" t="n">
        <v>2</v>
      </c>
      <c r="K420" s="65" t="n">
        <v>572.39</v>
      </c>
      <c r="L420" s="65" t="n">
        <v>1144.78</v>
      </c>
      <c r="M420" s="66" t="n">
        <f aca="false">DATE(YEAR(B420),MONTH(B420),1)</f>
        <v>45778</v>
      </c>
      <c r="N420" s="35" t="str">
        <f aca="false">IF(G420="","Unknown",G420)</f>
        <v>Delhi</v>
      </c>
      <c r="O420" s="35" t="str">
        <f aca="false">IF(E420="","Unknown",IF(E420&lt;=25,"18-25",IF(E420&lt;=35,"26-35",IF(E420&lt;=45,"36-45",IF(E420&lt;=55,"46-55","56-65")))))</f>
        <v>46-55</v>
      </c>
      <c r="P420" s="35" t="n">
        <f aca="false">COUNTIF($C$2:$C$1001,C420)</f>
        <v>1</v>
      </c>
      <c r="Q420" s="35" t="n">
        <f aca="false">IF(COUNTIF($C$2:C420,C420)=1,1,0)</f>
        <v>1</v>
      </c>
    </row>
    <row r="421" customFormat="false" ht="15" hidden="false" customHeight="false" outlineLevel="0" collapsed="false">
      <c r="A421" s="35" t="s">
        <v>1365</v>
      </c>
      <c r="B421" s="64" t="n">
        <v>45934</v>
      </c>
      <c r="C421" s="35" t="s">
        <v>1366</v>
      </c>
      <c r="D421" s="35" t="s">
        <v>1347</v>
      </c>
      <c r="E421" s="35" t="n">
        <v>39</v>
      </c>
      <c r="F421" s="35" t="s">
        <v>234</v>
      </c>
      <c r="G421" s="35" t="s">
        <v>216</v>
      </c>
      <c r="H421" s="35" t="s">
        <v>212</v>
      </c>
      <c r="I421" s="35" t="s">
        <v>203</v>
      </c>
      <c r="J421" s="35" t="n">
        <v>5</v>
      </c>
      <c r="K421" s="65" t="n">
        <v>26522.29</v>
      </c>
      <c r="L421" s="65" t="n">
        <v>132611.45</v>
      </c>
      <c r="M421" s="66" t="n">
        <f aca="false">DATE(YEAR(B421),MONTH(B421),1)</f>
        <v>45931</v>
      </c>
      <c r="N421" s="35" t="str">
        <f aca="false">IF(G421="","Unknown",G421)</f>
        <v>Patna</v>
      </c>
      <c r="O421" s="35" t="str">
        <f aca="false">IF(E421="","Unknown",IF(E421&lt;=25,"18-25",IF(E421&lt;=35,"26-35",IF(E421&lt;=45,"36-45",IF(E421&lt;=55,"46-55","56-65")))))</f>
        <v>36-45</v>
      </c>
      <c r="P421" s="35" t="n">
        <f aca="false">COUNTIF($C$2:$C$1001,C421)</f>
        <v>1</v>
      </c>
      <c r="Q421" s="35" t="n">
        <f aca="false">IF(COUNTIF($C$2:C421,C421)=1,1,0)</f>
        <v>1</v>
      </c>
    </row>
    <row r="422" customFormat="false" ht="15" hidden="false" customHeight="false" outlineLevel="0" collapsed="false">
      <c r="A422" s="35" t="s">
        <v>1367</v>
      </c>
      <c r="B422" s="64" t="n">
        <v>46014</v>
      </c>
      <c r="C422" s="35" t="s">
        <v>1368</v>
      </c>
      <c r="D422" s="35" t="s">
        <v>674</v>
      </c>
      <c r="E422" s="35" t="n">
        <v>24</v>
      </c>
      <c r="F422" s="35" t="s">
        <v>234</v>
      </c>
      <c r="G422" s="35" t="s">
        <v>220</v>
      </c>
      <c r="H422" s="35" t="s">
        <v>208</v>
      </c>
      <c r="I422" s="35" t="s">
        <v>200</v>
      </c>
      <c r="J422" s="35" t="n">
        <v>2</v>
      </c>
      <c r="K422" s="65" t="n">
        <v>25875.53</v>
      </c>
      <c r="L422" s="65" t="n">
        <v>51751.06</v>
      </c>
      <c r="M422" s="66" t="n">
        <f aca="false">DATE(YEAR(B422),MONTH(B422),1)</f>
        <v>45992</v>
      </c>
      <c r="N422" s="35" t="str">
        <f aca="false">IF(G422="","Unknown",G422)</f>
        <v>Hyderabad</v>
      </c>
      <c r="O422" s="35" t="str">
        <f aca="false">IF(E422="","Unknown",IF(E422&lt;=25,"18-25",IF(E422&lt;=35,"26-35",IF(E422&lt;=45,"36-45",IF(E422&lt;=55,"46-55","56-65")))))</f>
        <v>18-25</v>
      </c>
      <c r="P422" s="35" t="n">
        <f aca="false">COUNTIF($C$2:$C$1001,C422)</f>
        <v>1</v>
      </c>
      <c r="Q422" s="35" t="n">
        <f aca="false">IF(COUNTIF($C$2:C422,C422)=1,1,0)</f>
        <v>1</v>
      </c>
    </row>
    <row r="423" customFormat="false" ht="15" hidden="false" customHeight="false" outlineLevel="0" collapsed="false">
      <c r="A423" s="35" t="s">
        <v>1369</v>
      </c>
      <c r="B423" s="64" t="n">
        <v>45750</v>
      </c>
      <c r="C423" s="35" t="s">
        <v>1370</v>
      </c>
      <c r="D423" s="35" t="s">
        <v>1371</v>
      </c>
      <c r="E423" s="35" t="n">
        <v>58</v>
      </c>
      <c r="F423" s="35" t="s">
        <v>234</v>
      </c>
      <c r="G423" s="35" t="s">
        <v>223</v>
      </c>
      <c r="H423" s="35" t="s">
        <v>209</v>
      </c>
      <c r="I423" s="35" t="s">
        <v>200</v>
      </c>
      <c r="J423" s="35" t="n">
        <v>9</v>
      </c>
      <c r="K423" s="65" t="n">
        <v>37176.15</v>
      </c>
      <c r="L423" s="65" t="n">
        <v>334585.35</v>
      </c>
      <c r="M423" s="66" t="n">
        <f aca="false">DATE(YEAR(B423),MONTH(B423),1)</f>
        <v>45748</v>
      </c>
      <c r="N423" s="35" t="str">
        <f aca="false">IF(G423="","Unknown",G423)</f>
        <v>Gaya</v>
      </c>
      <c r="O423" s="35" t="str">
        <f aca="false">IF(E423="","Unknown",IF(E423&lt;=25,"18-25",IF(E423&lt;=35,"26-35",IF(E423&lt;=45,"36-45",IF(E423&lt;=55,"46-55","56-65")))))</f>
        <v>56-65</v>
      </c>
      <c r="P423" s="35" t="n">
        <f aca="false">COUNTIF($C$2:$C$1001,C423)</f>
        <v>1</v>
      </c>
      <c r="Q423" s="35" t="n">
        <f aca="false">IF(COUNTIF($C$2:C423,C423)=1,1,0)</f>
        <v>1</v>
      </c>
    </row>
    <row r="424" customFormat="false" ht="15" hidden="false" customHeight="false" outlineLevel="0" collapsed="false">
      <c r="A424" s="35" t="s">
        <v>1372</v>
      </c>
      <c r="B424" s="64" t="n">
        <v>45933</v>
      </c>
      <c r="C424" s="35" t="s">
        <v>1373</v>
      </c>
      <c r="D424" s="35" t="s">
        <v>1304</v>
      </c>
      <c r="E424" s="35" t="n">
        <v>31</v>
      </c>
      <c r="F424" s="35" t="s">
        <v>235</v>
      </c>
      <c r="G424" s="35" t="s">
        <v>222</v>
      </c>
      <c r="H424" s="35" t="s">
        <v>208</v>
      </c>
      <c r="I424" s="35" t="s">
        <v>200</v>
      </c>
      <c r="J424" s="35" t="n">
        <v>10</v>
      </c>
      <c r="K424" s="65" t="n">
        <v>315.67</v>
      </c>
      <c r="L424" s="65" t="n">
        <v>3156.7</v>
      </c>
      <c r="M424" s="66" t="n">
        <f aca="false">DATE(YEAR(B424),MONTH(B424),1)</f>
        <v>45931</v>
      </c>
      <c r="N424" s="35" t="str">
        <f aca="false">IF(G424="","Unknown",G424)</f>
        <v>Pune</v>
      </c>
      <c r="O424" s="35" t="str">
        <f aca="false">IF(E424="","Unknown",IF(E424&lt;=25,"18-25",IF(E424&lt;=35,"26-35",IF(E424&lt;=45,"36-45",IF(E424&lt;=55,"46-55","56-65")))))</f>
        <v>26-35</v>
      </c>
      <c r="P424" s="35" t="n">
        <f aca="false">COUNTIF($C$2:$C$1001,C424)</f>
        <v>1</v>
      </c>
      <c r="Q424" s="35" t="n">
        <f aca="false">IF(COUNTIF($C$2:C424,C424)=1,1,0)</f>
        <v>1</v>
      </c>
    </row>
    <row r="425" customFormat="false" ht="15" hidden="false" customHeight="false" outlineLevel="0" collapsed="false">
      <c r="A425" s="35" t="s">
        <v>1374</v>
      </c>
      <c r="B425" s="64" t="n">
        <v>45716</v>
      </c>
      <c r="C425" s="35" t="s">
        <v>1375</v>
      </c>
      <c r="D425" s="35" t="s">
        <v>1376</v>
      </c>
      <c r="E425" s="35" t="n">
        <v>46</v>
      </c>
      <c r="F425" s="35" t="s">
        <v>234</v>
      </c>
      <c r="G425" s="35" t="s">
        <v>216</v>
      </c>
      <c r="H425" s="35" t="s">
        <v>209</v>
      </c>
      <c r="I425" s="35" t="s">
        <v>200</v>
      </c>
      <c r="J425" s="35" t="n">
        <v>1</v>
      </c>
      <c r="K425" s="65" t="n">
        <v>30640.69</v>
      </c>
      <c r="L425" s="65" t="n">
        <v>30640.69</v>
      </c>
      <c r="M425" s="66" t="n">
        <f aca="false">DATE(YEAR(B425),MONTH(B425),1)</f>
        <v>45689</v>
      </c>
      <c r="N425" s="35" t="str">
        <f aca="false">IF(G425="","Unknown",G425)</f>
        <v>Patna</v>
      </c>
      <c r="O425" s="35" t="str">
        <f aca="false">IF(E425="","Unknown",IF(E425&lt;=25,"18-25",IF(E425&lt;=35,"26-35",IF(E425&lt;=45,"36-45",IF(E425&lt;=55,"46-55","56-65")))))</f>
        <v>46-55</v>
      </c>
      <c r="P425" s="35" t="n">
        <f aca="false">COUNTIF($C$2:$C$1001,C425)</f>
        <v>1</v>
      </c>
      <c r="Q425" s="35" t="n">
        <f aca="false">IF(COUNTIF($C$2:C425,C425)=1,1,0)</f>
        <v>1</v>
      </c>
    </row>
    <row r="426" customFormat="false" ht="15" hidden="false" customHeight="false" outlineLevel="0" collapsed="false">
      <c r="A426" s="35" t="s">
        <v>1377</v>
      </c>
      <c r="B426" s="64" t="n">
        <v>45829</v>
      </c>
      <c r="C426" s="35" t="s">
        <v>1378</v>
      </c>
      <c r="D426" s="35" t="s">
        <v>1379</v>
      </c>
      <c r="E426" s="35" t="n">
        <v>65</v>
      </c>
      <c r="F426" s="35" t="s">
        <v>235</v>
      </c>
      <c r="G426" s="35" t="s">
        <v>223</v>
      </c>
      <c r="H426" s="35" t="s">
        <v>208</v>
      </c>
      <c r="I426" s="35" t="s">
        <v>200</v>
      </c>
      <c r="J426" s="35" t="n">
        <v>8</v>
      </c>
      <c r="K426" s="65" t="n">
        <v>23432.88</v>
      </c>
      <c r="L426" s="65" t="n">
        <v>187463.04</v>
      </c>
      <c r="M426" s="66" t="n">
        <f aca="false">DATE(YEAR(B426),MONTH(B426),1)</f>
        <v>45809</v>
      </c>
      <c r="N426" s="35" t="str">
        <f aca="false">IF(G426="","Unknown",G426)</f>
        <v>Gaya</v>
      </c>
      <c r="O426" s="35" t="str">
        <f aca="false">IF(E426="","Unknown",IF(E426&lt;=25,"18-25",IF(E426&lt;=35,"26-35",IF(E426&lt;=45,"36-45",IF(E426&lt;=55,"46-55","56-65")))))</f>
        <v>56-65</v>
      </c>
      <c r="P426" s="35" t="n">
        <f aca="false">COUNTIF($C$2:$C$1001,C426)</f>
        <v>1</v>
      </c>
      <c r="Q426" s="35" t="n">
        <f aca="false">IF(COUNTIF($C$2:C426,C426)=1,1,0)</f>
        <v>1</v>
      </c>
    </row>
    <row r="427" customFormat="false" ht="15" hidden="false" customHeight="false" outlineLevel="0" collapsed="false">
      <c r="A427" s="35" t="s">
        <v>1380</v>
      </c>
      <c r="B427" s="64" t="n">
        <v>45808</v>
      </c>
      <c r="C427" s="35" t="s">
        <v>1381</v>
      </c>
      <c r="D427" s="35" t="s">
        <v>1382</v>
      </c>
      <c r="E427" s="35" t="n">
        <v>32</v>
      </c>
      <c r="F427" s="35" t="s">
        <v>235</v>
      </c>
      <c r="G427" s="35" t="s">
        <v>223</v>
      </c>
      <c r="H427" s="35" t="s">
        <v>208</v>
      </c>
      <c r="I427" s="35" t="s">
        <v>200</v>
      </c>
      <c r="J427" s="35" t="n">
        <v>3</v>
      </c>
      <c r="K427" s="65" t="n">
        <v>29297.53</v>
      </c>
      <c r="L427" s="65" t="n">
        <v>87892.59</v>
      </c>
      <c r="M427" s="66" t="n">
        <f aca="false">DATE(YEAR(B427),MONTH(B427),1)</f>
        <v>45778</v>
      </c>
      <c r="N427" s="35" t="str">
        <f aca="false">IF(G427="","Unknown",G427)</f>
        <v>Gaya</v>
      </c>
      <c r="O427" s="35" t="str">
        <f aca="false">IF(E427="","Unknown",IF(E427&lt;=25,"18-25",IF(E427&lt;=35,"26-35",IF(E427&lt;=45,"36-45",IF(E427&lt;=55,"46-55","56-65")))))</f>
        <v>26-35</v>
      </c>
      <c r="P427" s="35" t="n">
        <f aca="false">COUNTIF($C$2:$C$1001,C427)</f>
        <v>1</v>
      </c>
      <c r="Q427" s="35" t="n">
        <f aca="false">IF(COUNTIF($C$2:C427,C427)=1,1,0)</f>
        <v>1</v>
      </c>
    </row>
    <row r="428" customFormat="false" ht="15" hidden="false" customHeight="false" outlineLevel="0" collapsed="false">
      <c r="A428" s="35" t="s">
        <v>1383</v>
      </c>
      <c r="B428" s="64" t="n">
        <v>45702</v>
      </c>
      <c r="C428" s="35" t="s">
        <v>1384</v>
      </c>
      <c r="D428" s="35" t="s">
        <v>836</v>
      </c>
      <c r="E428" s="35" t="n">
        <v>19</v>
      </c>
      <c r="F428" s="35" t="s">
        <v>234</v>
      </c>
      <c r="G428" s="35" t="s">
        <v>221</v>
      </c>
      <c r="H428" s="35" t="s">
        <v>212</v>
      </c>
      <c r="I428" s="35" t="s">
        <v>203</v>
      </c>
      <c r="J428" s="35" t="n">
        <v>6</v>
      </c>
      <c r="K428" s="65" t="n">
        <v>33928.27</v>
      </c>
      <c r="L428" s="65" t="n">
        <v>203569.62</v>
      </c>
      <c r="M428" s="66" t="n">
        <f aca="false">DATE(YEAR(B428),MONTH(B428),1)</f>
        <v>45689</v>
      </c>
      <c r="N428" s="35" t="str">
        <f aca="false">IF(G428="","Unknown",G428)</f>
        <v>Delhi</v>
      </c>
      <c r="O428" s="35" t="str">
        <f aca="false">IF(E428="","Unknown",IF(E428&lt;=25,"18-25",IF(E428&lt;=35,"26-35",IF(E428&lt;=45,"36-45",IF(E428&lt;=55,"46-55","56-65")))))</f>
        <v>18-25</v>
      </c>
      <c r="P428" s="35" t="n">
        <f aca="false">COUNTIF($C$2:$C$1001,C428)</f>
        <v>1</v>
      </c>
      <c r="Q428" s="35" t="n">
        <f aca="false">IF(COUNTIF($C$2:C428,C428)=1,1,0)</f>
        <v>1</v>
      </c>
    </row>
    <row r="429" customFormat="false" ht="15" hidden="false" customHeight="false" outlineLevel="0" collapsed="false">
      <c r="A429" s="35" t="s">
        <v>1385</v>
      </c>
      <c r="B429" s="64" t="n">
        <v>45877</v>
      </c>
      <c r="C429" s="35" t="s">
        <v>1386</v>
      </c>
      <c r="D429" s="35" t="s">
        <v>1387</v>
      </c>
      <c r="E429" s="35" t="n">
        <v>49</v>
      </c>
      <c r="F429" s="35" t="s">
        <v>234</v>
      </c>
      <c r="G429" s="35" t="s">
        <v>220</v>
      </c>
      <c r="H429" s="35" t="s">
        <v>210</v>
      </c>
      <c r="I429" s="35" t="s">
        <v>201</v>
      </c>
      <c r="J429" s="35" t="n">
        <v>6</v>
      </c>
      <c r="K429" s="65" t="n">
        <v>13857.45</v>
      </c>
      <c r="L429" s="65" t="n">
        <v>83144.7</v>
      </c>
      <c r="M429" s="66" t="n">
        <f aca="false">DATE(YEAR(B429),MONTH(B429),1)</f>
        <v>45870</v>
      </c>
      <c r="N429" s="35" t="str">
        <f aca="false">IF(G429="","Unknown",G429)</f>
        <v>Hyderabad</v>
      </c>
      <c r="O429" s="35" t="str">
        <f aca="false">IF(E429="","Unknown",IF(E429&lt;=25,"18-25",IF(E429&lt;=35,"26-35",IF(E429&lt;=45,"36-45",IF(E429&lt;=55,"46-55","56-65")))))</f>
        <v>46-55</v>
      </c>
      <c r="P429" s="35" t="n">
        <f aca="false">COUNTIF($C$2:$C$1001,C429)</f>
        <v>1</v>
      </c>
      <c r="Q429" s="35" t="n">
        <f aca="false">IF(COUNTIF($C$2:C429,C429)=1,1,0)</f>
        <v>1</v>
      </c>
    </row>
    <row r="430" customFormat="false" ht="15" hidden="false" customHeight="false" outlineLevel="0" collapsed="false">
      <c r="A430" s="35" t="s">
        <v>1388</v>
      </c>
      <c r="B430" s="64" t="n">
        <v>45954</v>
      </c>
      <c r="C430" s="35" t="s">
        <v>1389</v>
      </c>
      <c r="D430" s="35" t="s">
        <v>776</v>
      </c>
      <c r="E430" s="35" t="n">
        <v>21</v>
      </c>
      <c r="F430" s="35" t="s">
        <v>235</v>
      </c>
      <c r="G430" s="35" t="s">
        <v>219</v>
      </c>
      <c r="H430" s="35" t="s">
        <v>208</v>
      </c>
      <c r="I430" s="35" t="s">
        <v>200</v>
      </c>
      <c r="J430" s="35" t="n">
        <v>9</v>
      </c>
      <c r="K430" s="65" t="n">
        <v>29804.26</v>
      </c>
      <c r="L430" s="65" t="n">
        <v>268238.34</v>
      </c>
      <c r="M430" s="66" t="n">
        <f aca="false">DATE(YEAR(B430),MONTH(B430),1)</f>
        <v>45931</v>
      </c>
      <c r="N430" s="35" t="str">
        <f aca="false">IF(G430="","Unknown",G430)</f>
        <v>Mumbai</v>
      </c>
      <c r="O430" s="35" t="str">
        <f aca="false">IF(E430="","Unknown",IF(E430&lt;=25,"18-25",IF(E430&lt;=35,"26-35",IF(E430&lt;=45,"36-45",IF(E430&lt;=55,"46-55","56-65")))))</f>
        <v>18-25</v>
      </c>
      <c r="P430" s="35" t="n">
        <f aca="false">COUNTIF($C$2:$C$1001,C430)</f>
        <v>2</v>
      </c>
      <c r="Q430" s="35" t="n">
        <f aca="false">IF(COUNTIF($C$2:C430,C430)=1,1,0)</f>
        <v>1</v>
      </c>
    </row>
    <row r="431" customFormat="false" ht="15" hidden="false" customHeight="false" outlineLevel="0" collapsed="false">
      <c r="A431" s="35" t="s">
        <v>1390</v>
      </c>
      <c r="B431" s="64" t="n">
        <v>45859</v>
      </c>
      <c r="C431" s="35" t="s">
        <v>1391</v>
      </c>
      <c r="D431" s="35" t="s">
        <v>305</v>
      </c>
      <c r="E431" s="35" t="n">
        <v>28</v>
      </c>
      <c r="F431" s="35" t="s">
        <v>234</v>
      </c>
      <c r="G431" s="35" t="s">
        <v>221</v>
      </c>
      <c r="H431" s="35" t="s">
        <v>213</v>
      </c>
      <c r="I431" s="35" t="s">
        <v>204</v>
      </c>
      <c r="J431" s="35" t="n">
        <v>9</v>
      </c>
      <c r="K431" s="65" t="n">
        <v>12279.11</v>
      </c>
      <c r="L431" s="65" t="n">
        <v>110511.99</v>
      </c>
      <c r="M431" s="66" t="n">
        <f aca="false">DATE(YEAR(B431),MONTH(B431),1)</f>
        <v>45839</v>
      </c>
      <c r="N431" s="35" t="str">
        <f aca="false">IF(G431="","Unknown",G431)</f>
        <v>Delhi</v>
      </c>
      <c r="O431" s="35" t="str">
        <f aca="false">IF(E431="","Unknown",IF(E431&lt;=25,"18-25",IF(E431&lt;=35,"26-35",IF(E431&lt;=45,"36-45",IF(E431&lt;=55,"46-55","56-65")))))</f>
        <v>26-35</v>
      </c>
      <c r="P431" s="35" t="n">
        <f aca="false">COUNTIF($C$2:$C$1001,C431)</f>
        <v>1</v>
      </c>
      <c r="Q431" s="35" t="n">
        <f aca="false">IF(COUNTIF($C$2:C431,C431)=1,1,0)</f>
        <v>1</v>
      </c>
    </row>
    <row r="432" customFormat="false" ht="15" hidden="false" customHeight="false" outlineLevel="0" collapsed="false">
      <c r="A432" s="35" t="s">
        <v>1392</v>
      </c>
      <c r="B432" s="64" t="n">
        <v>45692</v>
      </c>
      <c r="C432" s="35" t="s">
        <v>1393</v>
      </c>
      <c r="D432" s="35" t="s">
        <v>1394</v>
      </c>
      <c r="E432" s="35" t="n">
        <v>28</v>
      </c>
      <c r="F432" s="35" t="s">
        <v>234</v>
      </c>
      <c r="G432" s="35" t="s">
        <v>221</v>
      </c>
      <c r="H432" s="35" t="s">
        <v>209</v>
      </c>
      <c r="I432" s="35" t="s">
        <v>200</v>
      </c>
      <c r="J432" s="35" t="n">
        <v>6</v>
      </c>
      <c r="K432" s="65" t="n">
        <v>5060.75</v>
      </c>
      <c r="L432" s="65" t="n">
        <v>30364.5</v>
      </c>
      <c r="M432" s="66" t="n">
        <f aca="false">DATE(YEAR(B432),MONTH(B432),1)</f>
        <v>45689</v>
      </c>
      <c r="N432" s="35" t="str">
        <f aca="false">IF(G432="","Unknown",G432)</f>
        <v>Delhi</v>
      </c>
      <c r="O432" s="35" t="str">
        <f aca="false">IF(E432="","Unknown",IF(E432&lt;=25,"18-25",IF(E432&lt;=35,"26-35",IF(E432&lt;=45,"36-45",IF(E432&lt;=55,"46-55","56-65")))))</f>
        <v>26-35</v>
      </c>
      <c r="P432" s="35" t="n">
        <f aca="false">COUNTIF($C$2:$C$1001,C432)</f>
        <v>1</v>
      </c>
      <c r="Q432" s="35" t="n">
        <f aca="false">IF(COUNTIF($C$2:C432,C432)=1,1,0)</f>
        <v>1</v>
      </c>
    </row>
    <row r="433" customFormat="false" ht="15" hidden="false" customHeight="false" outlineLevel="0" collapsed="false">
      <c r="A433" s="35" t="s">
        <v>1395</v>
      </c>
      <c r="B433" s="64" t="n">
        <v>45788</v>
      </c>
      <c r="C433" s="35" t="s">
        <v>1396</v>
      </c>
      <c r="D433" s="35" t="s">
        <v>347</v>
      </c>
      <c r="E433" s="35" t="n">
        <v>45</v>
      </c>
      <c r="F433" s="35" t="s">
        <v>234</v>
      </c>
      <c r="G433" s="35" t="s">
        <v>217</v>
      </c>
      <c r="H433" s="35" t="s">
        <v>208</v>
      </c>
      <c r="I433" s="35" t="s">
        <v>200</v>
      </c>
      <c r="J433" s="35" t="n">
        <v>2</v>
      </c>
      <c r="K433" s="65" t="n">
        <v>42427.93</v>
      </c>
      <c r="L433" s="65" t="n">
        <v>84855.86</v>
      </c>
      <c r="M433" s="66" t="n">
        <f aca="false">DATE(YEAR(B433),MONTH(B433),1)</f>
        <v>45778</v>
      </c>
      <c r="N433" s="35" t="str">
        <f aca="false">IF(G433="","Unknown",G433)</f>
        <v>Kolkata</v>
      </c>
      <c r="O433" s="35" t="str">
        <f aca="false">IF(E433="","Unknown",IF(E433&lt;=25,"18-25",IF(E433&lt;=35,"26-35",IF(E433&lt;=45,"36-45",IF(E433&lt;=55,"46-55","56-65")))))</f>
        <v>36-45</v>
      </c>
      <c r="P433" s="35" t="n">
        <f aca="false">COUNTIF($C$2:$C$1001,C433)</f>
        <v>2</v>
      </c>
      <c r="Q433" s="35" t="n">
        <f aca="false">IF(COUNTIF($C$2:C433,C433)=1,1,0)</f>
        <v>1</v>
      </c>
    </row>
    <row r="434" customFormat="false" ht="15" hidden="false" customHeight="false" outlineLevel="0" collapsed="false">
      <c r="A434" s="35" t="s">
        <v>1397</v>
      </c>
      <c r="B434" s="64" t="n">
        <v>45818</v>
      </c>
      <c r="C434" s="35" t="s">
        <v>1398</v>
      </c>
      <c r="D434" s="35" t="s">
        <v>520</v>
      </c>
      <c r="E434" s="35" t="n">
        <v>33</v>
      </c>
      <c r="F434" s="35" t="s">
        <v>234</v>
      </c>
      <c r="G434" s="35" t="s">
        <v>221</v>
      </c>
      <c r="H434" s="35" t="s">
        <v>209</v>
      </c>
      <c r="I434" s="35" t="s">
        <v>200</v>
      </c>
      <c r="J434" s="35" t="n">
        <v>10</v>
      </c>
      <c r="K434" s="65" t="n">
        <v>43997.22</v>
      </c>
      <c r="L434" s="65" t="n">
        <v>439972.2</v>
      </c>
      <c r="M434" s="66" t="n">
        <f aca="false">DATE(YEAR(B434),MONTH(B434),1)</f>
        <v>45809</v>
      </c>
      <c r="N434" s="35" t="str">
        <f aca="false">IF(G434="","Unknown",G434)</f>
        <v>Delhi</v>
      </c>
      <c r="O434" s="35" t="str">
        <f aca="false">IF(E434="","Unknown",IF(E434&lt;=25,"18-25",IF(E434&lt;=35,"26-35",IF(E434&lt;=45,"36-45",IF(E434&lt;=55,"46-55","56-65")))))</f>
        <v>26-35</v>
      </c>
      <c r="P434" s="35" t="n">
        <f aca="false">COUNTIF($C$2:$C$1001,C434)</f>
        <v>1</v>
      </c>
      <c r="Q434" s="35" t="n">
        <f aca="false">IF(COUNTIF($C$2:C434,C434)=1,1,0)</f>
        <v>1</v>
      </c>
    </row>
    <row r="435" customFormat="false" ht="15" hidden="false" customHeight="false" outlineLevel="0" collapsed="false">
      <c r="A435" s="35" t="s">
        <v>1399</v>
      </c>
      <c r="B435" s="64" t="n">
        <v>45662</v>
      </c>
      <c r="C435" s="35" t="s">
        <v>1400</v>
      </c>
      <c r="D435" s="35" t="s">
        <v>284</v>
      </c>
      <c r="E435" s="35" t="n">
        <v>28</v>
      </c>
      <c r="F435" s="35" t="s">
        <v>234</v>
      </c>
      <c r="G435" s="35" t="s">
        <v>216</v>
      </c>
      <c r="H435" s="35" t="s">
        <v>211</v>
      </c>
      <c r="I435" s="35" t="s">
        <v>202</v>
      </c>
      <c r="J435" s="35" t="n">
        <v>1</v>
      </c>
      <c r="K435" s="65" t="n">
        <v>28812.06</v>
      </c>
      <c r="L435" s="65" t="n">
        <v>28812.06</v>
      </c>
      <c r="M435" s="66" t="n">
        <f aca="false">DATE(YEAR(B435),MONTH(B435),1)</f>
        <v>45658</v>
      </c>
      <c r="N435" s="35" t="str">
        <f aca="false">IF(G435="","Unknown",G435)</f>
        <v>Patna</v>
      </c>
      <c r="O435" s="35" t="str">
        <f aca="false">IF(E435="","Unknown",IF(E435&lt;=25,"18-25",IF(E435&lt;=35,"26-35",IF(E435&lt;=45,"36-45",IF(E435&lt;=55,"46-55","56-65")))))</f>
        <v>26-35</v>
      </c>
      <c r="P435" s="35" t="n">
        <f aca="false">COUNTIF($C$2:$C$1001,C435)</f>
        <v>1</v>
      </c>
      <c r="Q435" s="35" t="n">
        <f aca="false">IF(COUNTIF($C$2:C435,C435)=1,1,0)</f>
        <v>1</v>
      </c>
    </row>
    <row r="436" customFormat="false" ht="15" hidden="false" customHeight="false" outlineLevel="0" collapsed="false">
      <c r="A436" s="35" t="s">
        <v>1401</v>
      </c>
      <c r="B436" s="64" t="n">
        <v>45805</v>
      </c>
      <c r="C436" s="35" t="s">
        <v>1402</v>
      </c>
      <c r="D436" s="35" t="s">
        <v>317</v>
      </c>
      <c r="E436" s="35" t="n">
        <v>33</v>
      </c>
      <c r="F436" s="35" t="s">
        <v>235</v>
      </c>
      <c r="G436" s="35" t="s">
        <v>223</v>
      </c>
      <c r="H436" s="35" t="s">
        <v>209</v>
      </c>
      <c r="I436" s="35" t="s">
        <v>200</v>
      </c>
      <c r="J436" s="35" t="n">
        <v>1</v>
      </c>
      <c r="K436" s="65" t="n">
        <v>1229.02</v>
      </c>
      <c r="L436" s="65" t="n">
        <v>1229.02</v>
      </c>
      <c r="M436" s="66" t="n">
        <f aca="false">DATE(YEAR(B436),MONTH(B436),1)</f>
        <v>45778</v>
      </c>
      <c r="N436" s="35" t="str">
        <f aca="false">IF(G436="","Unknown",G436)</f>
        <v>Gaya</v>
      </c>
      <c r="O436" s="35" t="str">
        <f aca="false">IF(E436="","Unknown",IF(E436&lt;=25,"18-25",IF(E436&lt;=35,"26-35",IF(E436&lt;=45,"36-45",IF(E436&lt;=55,"46-55","56-65")))))</f>
        <v>26-35</v>
      </c>
      <c r="P436" s="35" t="n">
        <f aca="false">COUNTIF($C$2:$C$1001,C436)</f>
        <v>1</v>
      </c>
      <c r="Q436" s="35" t="n">
        <f aca="false">IF(COUNTIF($C$2:C436,C436)=1,1,0)</f>
        <v>1</v>
      </c>
    </row>
    <row r="437" customFormat="false" ht="15" hidden="false" customHeight="false" outlineLevel="0" collapsed="false">
      <c r="A437" s="35" t="s">
        <v>1403</v>
      </c>
      <c r="B437" s="64" t="n">
        <v>45870</v>
      </c>
      <c r="C437" s="35" t="s">
        <v>1404</v>
      </c>
      <c r="D437" s="35" t="s">
        <v>529</v>
      </c>
      <c r="E437" s="35" t="n">
        <v>19</v>
      </c>
      <c r="F437" s="35" t="s">
        <v>234</v>
      </c>
      <c r="G437" s="35" t="s">
        <v>222</v>
      </c>
      <c r="H437" s="35" t="s">
        <v>209</v>
      </c>
      <c r="I437" s="35" t="s">
        <v>200</v>
      </c>
      <c r="J437" s="35" t="n">
        <v>3</v>
      </c>
      <c r="K437" s="65" t="n">
        <v>29528.77</v>
      </c>
      <c r="L437" s="65" t="n">
        <v>88586.31</v>
      </c>
      <c r="M437" s="66" t="n">
        <f aca="false">DATE(YEAR(B437),MONTH(B437),1)</f>
        <v>45870</v>
      </c>
      <c r="N437" s="35" t="str">
        <f aca="false">IF(G437="","Unknown",G437)</f>
        <v>Pune</v>
      </c>
      <c r="O437" s="35" t="str">
        <f aca="false">IF(E437="","Unknown",IF(E437&lt;=25,"18-25",IF(E437&lt;=35,"26-35",IF(E437&lt;=45,"36-45",IF(E437&lt;=55,"46-55","56-65")))))</f>
        <v>18-25</v>
      </c>
      <c r="P437" s="35" t="n">
        <f aca="false">COUNTIF($C$2:$C$1001,C437)</f>
        <v>1</v>
      </c>
      <c r="Q437" s="35" t="n">
        <f aca="false">IF(COUNTIF($C$2:C437,C437)=1,1,0)</f>
        <v>1</v>
      </c>
    </row>
    <row r="438" customFormat="false" ht="15" hidden="false" customHeight="false" outlineLevel="0" collapsed="false">
      <c r="A438" s="35" t="s">
        <v>1405</v>
      </c>
      <c r="B438" s="64" t="n">
        <v>45990</v>
      </c>
      <c r="C438" s="35" t="s">
        <v>1406</v>
      </c>
      <c r="D438" s="35" t="s">
        <v>1120</v>
      </c>
      <c r="E438" s="35" t="n">
        <v>43</v>
      </c>
      <c r="F438" s="35" t="s">
        <v>235</v>
      </c>
      <c r="G438" s="35" t="s">
        <v>219</v>
      </c>
      <c r="H438" s="35" t="s">
        <v>212</v>
      </c>
      <c r="I438" s="35" t="s">
        <v>203</v>
      </c>
      <c r="J438" s="35" t="n">
        <v>9</v>
      </c>
      <c r="K438" s="65" t="n">
        <v>24864.11</v>
      </c>
      <c r="L438" s="65" t="n">
        <v>223776.99</v>
      </c>
      <c r="M438" s="66" t="n">
        <f aca="false">DATE(YEAR(B438),MONTH(B438),1)</f>
        <v>45962</v>
      </c>
      <c r="N438" s="35" t="str">
        <f aca="false">IF(G438="","Unknown",G438)</f>
        <v>Mumbai</v>
      </c>
      <c r="O438" s="35" t="str">
        <f aca="false">IF(E438="","Unknown",IF(E438&lt;=25,"18-25",IF(E438&lt;=35,"26-35",IF(E438&lt;=45,"36-45",IF(E438&lt;=55,"46-55","56-65")))))</f>
        <v>36-45</v>
      </c>
      <c r="P438" s="35" t="n">
        <f aca="false">COUNTIF($C$2:$C$1001,C438)</f>
        <v>1</v>
      </c>
      <c r="Q438" s="35" t="n">
        <f aca="false">IF(COUNTIF($C$2:C438,C438)=1,1,0)</f>
        <v>1</v>
      </c>
    </row>
    <row r="439" customFormat="false" ht="15" hidden="false" customHeight="false" outlineLevel="0" collapsed="false">
      <c r="A439" s="35" t="s">
        <v>1407</v>
      </c>
      <c r="B439" s="64" t="n">
        <v>46004</v>
      </c>
      <c r="C439" s="35" t="s">
        <v>1408</v>
      </c>
      <c r="D439" s="35" t="s">
        <v>654</v>
      </c>
      <c r="E439" s="35" t="n">
        <v>34</v>
      </c>
      <c r="F439" s="35" t="s">
        <v>235</v>
      </c>
      <c r="G439" s="35" t="s">
        <v>218</v>
      </c>
      <c r="H439" s="35" t="s">
        <v>210</v>
      </c>
      <c r="I439" s="35" t="s">
        <v>201</v>
      </c>
      <c r="J439" s="35" t="n">
        <v>8</v>
      </c>
      <c r="K439" s="65" t="n">
        <v>11693.63</v>
      </c>
      <c r="L439" s="65" t="n">
        <v>93549.04</v>
      </c>
      <c r="M439" s="66" t="n">
        <f aca="false">DATE(YEAR(B439),MONTH(B439),1)</f>
        <v>45992</v>
      </c>
      <c r="N439" s="35" t="str">
        <f aca="false">IF(G439="","Unknown",G439)</f>
        <v>Bengaluru</v>
      </c>
      <c r="O439" s="35" t="str">
        <f aca="false">IF(E439="","Unknown",IF(E439&lt;=25,"18-25",IF(E439&lt;=35,"26-35",IF(E439&lt;=45,"36-45",IF(E439&lt;=55,"46-55","56-65")))))</f>
        <v>26-35</v>
      </c>
      <c r="P439" s="35" t="n">
        <f aca="false">COUNTIF($C$2:$C$1001,C439)</f>
        <v>1</v>
      </c>
      <c r="Q439" s="35" t="n">
        <f aca="false">IF(COUNTIF($C$2:C439,C439)=1,1,0)</f>
        <v>1</v>
      </c>
    </row>
    <row r="440" customFormat="false" ht="15" hidden="false" customHeight="false" outlineLevel="0" collapsed="false">
      <c r="A440" s="35" t="s">
        <v>1409</v>
      </c>
      <c r="B440" s="64" t="n">
        <v>45803</v>
      </c>
      <c r="C440" s="35" t="s">
        <v>1389</v>
      </c>
      <c r="D440" s="35" t="s">
        <v>320</v>
      </c>
      <c r="E440" s="35" t="n">
        <v>49</v>
      </c>
      <c r="F440" s="35" t="s">
        <v>235</v>
      </c>
      <c r="G440" s="35" t="s">
        <v>223</v>
      </c>
      <c r="H440" s="35" t="s">
        <v>213</v>
      </c>
      <c r="I440" s="35" t="s">
        <v>204</v>
      </c>
      <c r="J440" s="35" t="n">
        <v>2</v>
      </c>
      <c r="K440" s="65" t="n">
        <v>5988.17</v>
      </c>
      <c r="L440" s="65" t="n">
        <v>11976.34</v>
      </c>
      <c r="M440" s="66" t="n">
        <f aca="false">DATE(YEAR(B440),MONTH(B440),1)</f>
        <v>45778</v>
      </c>
      <c r="N440" s="35" t="str">
        <f aca="false">IF(G440="","Unknown",G440)</f>
        <v>Gaya</v>
      </c>
      <c r="O440" s="35" t="str">
        <f aca="false">IF(E440="","Unknown",IF(E440&lt;=25,"18-25",IF(E440&lt;=35,"26-35",IF(E440&lt;=45,"36-45",IF(E440&lt;=55,"46-55","56-65")))))</f>
        <v>46-55</v>
      </c>
      <c r="P440" s="35" t="n">
        <f aca="false">COUNTIF($C$2:$C$1001,C440)</f>
        <v>2</v>
      </c>
      <c r="Q440" s="35" t="n">
        <f aca="false">IF(COUNTIF($C$2:C440,C440)=1,1,0)</f>
        <v>0</v>
      </c>
    </row>
    <row r="441" customFormat="false" ht="15" hidden="false" customHeight="false" outlineLevel="0" collapsed="false">
      <c r="A441" s="35" t="s">
        <v>1410</v>
      </c>
      <c r="B441" s="64" t="n">
        <v>45679</v>
      </c>
      <c r="C441" s="35" t="s">
        <v>1411</v>
      </c>
      <c r="D441" s="35" t="s">
        <v>663</v>
      </c>
      <c r="E441" s="35" t="n">
        <v>30</v>
      </c>
      <c r="F441" s="35" t="s">
        <v>234</v>
      </c>
      <c r="G441" s="35" t="s">
        <v>222</v>
      </c>
      <c r="H441" s="35" t="s">
        <v>209</v>
      </c>
      <c r="I441" s="35" t="s">
        <v>200</v>
      </c>
      <c r="J441" s="35" t="n">
        <v>1</v>
      </c>
      <c r="K441" s="65" t="n">
        <v>3839.04</v>
      </c>
      <c r="L441" s="65" t="n">
        <v>3839.04</v>
      </c>
      <c r="M441" s="66" t="n">
        <f aca="false">DATE(YEAR(B441),MONTH(B441),1)</f>
        <v>45658</v>
      </c>
      <c r="N441" s="35" t="str">
        <f aca="false">IF(G441="","Unknown",G441)</f>
        <v>Pune</v>
      </c>
      <c r="O441" s="35" t="str">
        <f aca="false">IF(E441="","Unknown",IF(E441&lt;=25,"18-25",IF(E441&lt;=35,"26-35",IF(E441&lt;=45,"36-45",IF(E441&lt;=55,"46-55","56-65")))))</f>
        <v>26-35</v>
      </c>
      <c r="P441" s="35" t="n">
        <f aca="false">COUNTIF($C$2:$C$1001,C441)</f>
        <v>1</v>
      </c>
      <c r="Q441" s="35" t="n">
        <f aca="false">IF(COUNTIF($C$2:C441,C441)=1,1,0)</f>
        <v>1</v>
      </c>
    </row>
    <row r="442" customFormat="false" ht="15" hidden="false" customHeight="false" outlineLevel="0" collapsed="false">
      <c r="A442" s="35" t="s">
        <v>1412</v>
      </c>
      <c r="B442" s="64" t="n">
        <v>45899</v>
      </c>
      <c r="C442" s="35" t="s">
        <v>1413</v>
      </c>
      <c r="D442" s="35" t="s">
        <v>1049</v>
      </c>
      <c r="E442" s="35" t="n">
        <v>21</v>
      </c>
      <c r="F442" s="35" t="s">
        <v>234</v>
      </c>
      <c r="G442" s="35" t="s">
        <v>221</v>
      </c>
      <c r="H442" s="35" t="s">
        <v>212</v>
      </c>
      <c r="I442" s="35" t="s">
        <v>203</v>
      </c>
      <c r="J442" s="35" t="n">
        <v>5</v>
      </c>
      <c r="K442" s="65" t="n">
        <v>3146.73</v>
      </c>
      <c r="L442" s="65" t="n">
        <v>15733.65</v>
      </c>
      <c r="M442" s="66" t="n">
        <f aca="false">DATE(YEAR(B442),MONTH(B442),1)</f>
        <v>45870</v>
      </c>
      <c r="N442" s="35" t="str">
        <f aca="false">IF(G442="","Unknown",G442)</f>
        <v>Delhi</v>
      </c>
      <c r="O442" s="35" t="str">
        <f aca="false">IF(E442="","Unknown",IF(E442&lt;=25,"18-25",IF(E442&lt;=35,"26-35",IF(E442&lt;=45,"36-45",IF(E442&lt;=55,"46-55","56-65")))))</f>
        <v>18-25</v>
      </c>
      <c r="P442" s="35" t="n">
        <f aca="false">COUNTIF($C$2:$C$1001,C442)</f>
        <v>1</v>
      </c>
      <c r="Q442" s="35" t="n">
        <f aca="false">IF(COUNTIF($C$2:C442,C442)=1,1,0)</f>
        <v>1</v>
      </c>
    </row>
    <row r="443" customFormat="false" ht="15" hidden="false" customHeight="false" outlineLevel="0" collapsed="false">
      <c r="A443" s="35" t="s">
        <v>1414</v>
      </c>
      <c r="B443" s="64" t="n">
        <v>45862</v>
      </c>
      <c r="C443" s="35" t="s">
        <v>1415</v>
      </c>
      <c r="D443" s="35" t="s">
        <v>847</v>
      </c>
      <c r="E443" s="35" t="n">
        <v>22</v>
      </c>
      <c r="F443" s="35" t="s">
        <v>234</v>
      </c>
      <c r="G443" s="35" t="s">
        <v>219</v>
      </c>
      <c r="H443" s="35" t="s">
        <v>212</v>
      </c>
      <c r="I443" s="35" t="s">
        <v>203</v>
      </c>
      <c r="J443" s="35" t="n">
        <v>7</v>
      </c>
      <c r="K443" s="65" t="n">
        <v>33771.26</v>
      </c>
      <c r="L443" s="65" t="n">
        <v>236398.82</v>
      </c>
      <c r="M443" s="66" t="n">
        <f aca="false">DATE(YEAR(B443),MONTH(B443),1)</f>
        <v>45839</v>
      </c>
      <c r="N443" s="35" t="str">
        <f aca="false">IF(G443="","Unknown",G443)</f>
        <v>Mumbai</v>
      </c>
      <c r="O443" s="35" t="str">
        <f aca="false">IF(E443="","Unknown",IF(E443&lt;=25,"18-25",IF(E443&lt;=35,"26-35",IF(E443&lt;=45,"36-45",IF(E443&lt;=55,"46-55","56-65")))))</f>
        <v>18-25</v>
      </c>
      <c r="P443" s="35" t="n">
        <f aca="false">COUNTIF($C$2:$C$1001,C443)</f>
        <v>1</v>
      </c>
      <c r="Q443" s="35" t="n">
        <f aca="false">IF(COUNTIF($C$2:C443,C443)=1,1,0)</f>
        <v>1</v>
      </c>
    </row>
    <row r="444" customFormat="false" ht="15" hidden="false" customHeight="false" outlineLevel="0" collapsed="false">
      <c r="A444" s="35" t="s">
        <v>1416</v>
      </c>
      <c r="B444" s="64" t="n">
        <v>45931</v>
      </c>
      <c r="C444" s="35" t="s">
        <v>1359</v>
      </c>
      <c r="D444" s="35" t="s">
        <v>251</v>
      </c>
      <c r="E444" s="35" t="n">
        <v>47</v>
      </c>
      <c r="F444" s="35" t="s">
        <v>234</v>
      </c>
      <c r="G444" s="35" t="s">
        <v>221</v>
      </c>
      <c r="H444" s="35" t="s">
        <v>209</v>
      </c>
      <c r="I444" s="35" t="s">
        <v>200</v>
      </c>
      <c r="J444" s="35" t="n">
        <v>3</v>
      </c>
      <c r="K444" s="65" t="n">
        <v>28342.81</v>
      </c>
      <c r="L444" s="65" t="n">
        <v>85028.43</v>
      </c>
      <c r="M444" s="66" t="n">
        <f aca="false">DATE(YEAR(B444),MONTH(B444),1)</f>
        <v>45931</v>
      </c>
      <c r="N444" s="35" t="str">
        <f aca="false">IF(G444="","Unknown",G444)</f>
        <v>Delhi</v>
      </c>
      <c r="O444" s="35" t="str">
        <f aca="false">IF(E444="","Unknown",IF(E444&lt;=25,"18-25",IF(E444&lt;=35,"26-35",IF(E444&lt;=45,"36-45",IF(E444&lt;=55,"46-55","56-65")))))</f>
        <v>46-55</v>
      </c>
      <c r="P444" s="35" t="n">
        <f aca="false">COUNTIF($C$2:$C$1001,C444)</f>
        <v>2</v>
      </c>
      <c r="Q444" s="35" t="n">
        <f aca="false">IF(COUNTIF($C$2:C444,C444)=1,1,0)</f>
        <v>0</v>
      </c>
    </row>
    <row r="445" customFormat="false" ht="15" hidden="false" customHeight="false" outlineLevel="0" collapsed="false">
      <c r="A445" s="35" t="s">
        <v>1417</v>
      </c>
      <c r="B445" s="64" t="n">
        <v>45824</v>
      </c>
      <c r="C445" s="35" t="s">
        <v>1418</v>
      </c>
      <c r="D445" s="35" t="s">
        <v>719</v>
      </c>
      <c r="E445" s="35" t="n">
        <v>34</v>
      </c>
      <c r="F445" s="35" t="s">
        <v>234</v>
      </c>
      <c r="G445" s="35" t="s">
        <v>217</v>
      </c>
      <c r="H445" s="35" t="s">
        <v>209</v>
      </c>
      <c r="I445" s="35" t="s">
        <v>200</v>
      </c>
      <c r="J445" s="35" t="n">
        <v>5</v>
      </c>
      <c r="K445" s="65" t="n">
        <v>48457.94</v>
      </c>
      <c r="L445" s="65" t="n">
        <v>242289.7</v>
      </c>
      <c r="M445" s="66" t="n">
        <f aca="false">DATE(YEAR(B445),MONTH(B445),1)</f>
        <v>45809</v>
      </c>
      <c r="N445" s="35" t="str">
        <f aca="false">IF(G445="","Unknown",G445)</f>
        <v>Kolkata</v>
      </c>
      <c r="O445" s="35" t="str">
        <f aca="false">IF(E445="","Unknown",IF(E445&lt;=25,"18-25",IF(E445&lt;=35,"26-35",IF(E445&lt;=45,"36-45",IF(E445&lt;=55,"46-55","56-65")))))</f>
        <v>26-35</v>
      </c>
      <c r="P445" s="35" t="n">
        <f aca="false">COUNTIF($C$2:$C$1001,C445)</f>
        <v>1</v>
      </c>
      <c r="Q445" s="35" t="n">
        <f aca="false">IF(COUNTIF($C$2:C445,C445)=1,1,0)</f>
        <v>1</v>
      </c>
    </row>
    <row r="446" customFormat="false" ht="15" hidden="false" customHeight="false" outlineLevel="0" collapsed="false">
      <c r="A446" s="35" t="s">
        <v>1419</v>
      </c>
      <c r="B446" s="64" t="n">
        <v>45711</v>
      </c>
      <c r="C446" s="35" t="s">
        <v>1420</v>
      </c>
      <c r="D446" s="35" t="s">
        <v>1421</v>
      </c>
      <c r="E446" s="35" t="n">
        <v>45</v>
      </c>
      <c r="F446" s="35" t="s">
        <v>234</v>
      </c>
      <c r="G446" s="35" t="s">
        <v>217</v>
      </c>
      <c r="H446" s="35" t="s">
        <v>210</v>
      </c>
      <c r="I446" s="35" t="s">
        <v>201</v>
      </c>
      <c r="J446" s="35" t="n">
        <v>2</v>
      </c>
      <c r="K446" s="65" t="n">
        <v>41096.75</v>
      </c>
      <c r="L446" s="65" t="n">
        <v>82193.5</v>
      </c>
      <c r="M446" s="66" t="n">
        <f aca="false">DATE(YEAR(B446),MONTH(B446),1)</f>
        <v>45689</v>
      </c>
      <c r="N446" s="35" t="str">
        <f aca="false">IF(G446="","Unknown",G446)</f>
        <v>Kolkata</v>
      </c>
      <c r="O446" s="35" t="str">
        <f aca="false">IF(E446="","Unknown",IF(E446&lt;=25,"18-25",IF(E446&lt;=35,"26-35",IF(E446&lt;=45,"36-45",IF(E446&lt;=55,"46-55","56-65")))))</f>
        <v>36-45</v>
      </c>
      <c r="P446" s="35" t="n">
        <f aca="false">COUNTIF($C$2:$C$1001,C446)</f>
        <v>1</v>
      </c>
      <c r="Q446" s="35" t="n">
        <f aca="false">IF(COUNTIF($C$2:C446,C446)=1,1,0)</f>
        <v>1</v>
      </c>
    </row>
    <row r="447" customFormat="false" ht="15" hidden="false" customHeight="false" outlineLevel="0" collapsed="false">
      <c r="A447" s="35" t="s">
        <v>1422</v>
      </c>
      <c r="B447" s="64" t="n">
        <v>45716</v>
      </c>
      <c r="C447" s="35" t="s">
        <v>1423</v>
      </c>
      <c r="D447" s="35" t="s">
        <v>1424</v>
      </c>
      <c r="E447" s="35" t="n">
        <v>49</v>
      </c>
      <c r="F447" s="35" t="s">
        <v>234</v>
      </c>
      <c r="G447" s="35" t="s">
        <v>223</v>
      </c>
      <c r="H447" s="35" t="s">
        <v>209</v>
      </c>
      <c r="I447" s="35" t="s">
        <v>200</v>
      </c>
      <c r="J447" s="35" t="n">
        <v>9</v>
      </c>
      <c r="K447" s="65" t="n">
        <v>19415.21</v>
      </c>
      <c r="L447" s="65" t="n">
        <v>174736.89</v>
      </c>
      <c r="M447" s="66" t="n">
        <f aca="false">DATE(YEAR(B447),MONTH(B447),1)</f>
        <v>45689</v>
      </c>
      <c r="N447" s="35" t="str">
        <f aca="false">IF(G447="","Unknown",G447)</f>
        <v>Gaya</v>
      </c>
      <c r="O447" s="35" t="str">
        <f aca="false">IF(E447="","Unknown",IF(E447&lt;=25,"18-25",IF(E447&lt;=35,"26-35",IF(E447&lt;=45,"36-45",IF(E447&lt;=55,"46-55","56-65")))))</f>
        <v>46-55</v>
      </c>
      <c r="P447" s="35" t="n">
        <f aca="false">COUNTIF($C$2:$C$1001,C447)</f>
        <v>1</v>
      </c>
      <c r="Q447" s="35" t="n">
        <f aca="false">IF(COUNTIF($C$2:C447,C447)=1,1,0)</f>
        <v>1</v>
      </c>
    </row>
    <row r="448" customFormat="false" ht="15" hidden="false" customHeight="false" outlineLevel="0" collapsed="false">
      <c r="A448" s="35" t="s">
        <v>1425</v>
      </c>
      <c r="B448" s="64" t="n">
        <v>45696</v>
      </c>
      <c r="C448" s="35" t="s">
        <v>1426</v>
      </c>
      <c r="D448" s="35" t="s">
        <v>1427</v>
      </c>
      <c r="E448" s="35" t="n">
        <v>45</v>
      </c>
      <c r="F448" s="35" t="s">
        <v>235</v>
      </c>
      <c r="G448" s="35" t="s">
        <v>223</v>
      </c>
      <c r="H448" s="35" t="s">
        <v>213</v>
      </c>
      <c r="I448" s="35" t="s">
        <v>204</v>
      </c>
      <c r="J448" s="35" t="n">
        <v>4</v>
      </c>
      <c r="K448" s="65" t="n">
        <v>8654.13</v>
      </c>
      <c r="L448" s="65" t="n">
        <v>34616.52</v>
      </c>
      <c r="M448" s="66" t="n">
        <f aca="false">DATE(YEAR(B448),MONTH(B448),1)</f>
        <v>45689</v>
      </c>
      <c r="N448" s="35" t="str">
        <f aca="false">IF(G448="","Unknown",G448)</f>
        <v>Gaya</v>
      </c>
      <c r="O448" s="35" t="str">
        <f aca="false">IF(E448="","Unknown",IF(E448&lt;=25,"18-25",IF(E448&lt;=35,"26-35",IF(E448&lt;=45,"36-45",IF(E448&lt;=55,"46-55","56-65")))))</f>
        <v>36-45</v>
      </c>
      <c r="P448" s="35" t="n">
        <f aca="false">COUNTIF($C$2:$C$1001,C448)</f>
        <v>1</v>
      </c>
      <c r="Q448" s="35" t="n">
        <f aca="false">IF(COUNTIF($C$2:C448,C448)=1,1,0)</f>
        <v>1</v>
      </c>
    </row>
    <row r="449" customFormat="false" ht="15" hidden="false" customHeight="false" outlineLevel="0" collapsed="false">
      <c r="A449" s="35" t="s">
        <v>1428</v>
      </c>
      <c r="B449" s="64" t="n">
        <v>45690</v>
      </c>
      <c r="C449" s="35" t="s">
        <v>1429</v>
      </c>
      <c r="D449" s="35" t="s">
        <v>1430</v>
      </c>
      <c r="E449" s="35" t="n">
        <v>30</v>
      </c>
      <c r="F449" s="35" t="s">
        <v>235</v>
      </c>
      <c r="G449" s="35" t="s">
        <v>223</v>
      </c>
      <c r="H449" s="35" t="s">
        <v>208</v>
      </c>
      <c r="I449" s="35" t="s">
        <v>200</v>
      </c>
      <c r="J449" s="35" t="n">
        <v>5</v>
      </c>
      <c r="K449" s="65" t="n">
        <v>26337.15</v>
      </c>
      <c r="L449" s="65" t="n">
        <v>131685.75</v>
      </c>
      <c r="M449" s="66" t="n">
        <f aca="false">DATE(YEAR(B449),MONTH(B449),1)</f>
        <v>45689</v>
      </c>
      <c r="N449" s="35" t="str">
        <f aca="false">IF(G449="","Unknown",G449)</f>
        <v>Gaya</v>
      </c>
      <c r="O449" s="35" t="str">
        <f aca="false">IF(E449="","Unknown",IF(E449&lt;=25,"18-25",IF(E449&lt;=35,"26-35",IF(E449&lt;=45,"36-45",IF(E449&lt;=55,"46-55","56-65")))))</f>
        <v>26-35</v>
      </c>
      <c r="P449" s="35" t="n">
        <f aca="false">COUNTIF($C$2:$C$1001,C449)</f>
        <v>1</v>
      </c>
      <c r="Q449" s="35" t="n">
        <f aca="false">IF(COUNTIF($C$2:C449,C449)=1,1,0)</f>
        <v>1</v>
      </c>
    </row>
    <row r="450" customFormat="false" ht="15" hidden="false" customHeight="false" outlineLevel="0" collapsed="false">
      <c r="A450" s="35" t="s">
        <v>1431</v>
      </c>
      <c r="B450" s="64" t="n">
        <v>45701</v>
      </c>
      <c r="C450" s="35" t="s">
        <v>1432</v>
      </c>
      <c r="D450" s="35" t="s">
        <v>465</v>
      </c>
      <c r="E450" s="35"/>
      <c r="F450" s="35" t="s">
        <v>235</v>
      </c>
      <c r="G450" s="35"/>
      <c r="H450" s="35" t="s">
        <v>210</v>
      </c>
      <c r="I450" s="35" t="s">
        <v>201</v>
      </c>
      <c r="J450" s="35" t="n">
        <v>10</v>
      </c>
      <c r="K450" s="65" t="n">
        <v>43946.96</v>
      </c>
      <c r="L450" s="65" t="n">
        <v>439469.6</v>
      </c>
      <c r="M450" s="66" t="n">
        <f aca="false">DATE(YEAR(B450),MONTH(B450),1)</f>
        <v>45689</v>
      </c>
      <c r="N450" s="35" t="str">
        <f aca="false">IF(G450="","Unknown",G450)</f>
        <v>Unknown</v>
      </c>
      <c r="O450" s="35" t="str">
        <f aca="false">IF(E450="","Unknown",IF(E450&lt;=25,"18-25",IF(E450&lt;=35,"26-35",IF(E450&lt;=45,"36-45",IF(E450&lt;=55,"46-55","56-65")))))</f>
        <v>Unknown</v>
      </c>
      <c r="P450" s="35" t="n">
        <f aca="false">COUNTIF($C$2:$C$1001,C450)</f>
        <v>1</v>
      </c>
      <c r="Q450" s="35" t="n">
        <f aca="false">IF(COUNTIF($C$2:C450,C450)=1,1,0)</f>
        <v>1</v>
      </c>
    </row>
    <row r="451" customFormat="false" ht="15" hidden="false" customHeight="false" outlineLevel="0" collapsed="false">
      <c r="A451" s="35" t="s">
        <v>1433</v>
      </c>
      <c r="B451" s="64" t="n">
        <v>45716</v>
      </c>
      <c r="C451" s="35" t="s">
        <v>1157</v>
      </c>
      <c r="D451" s="35" t="s">
        <v>332</v>
      </c>
      <c r="E451" s="35" t="n">
        <v>27</v>
      </c>
      <c r="F451" s="35" t="s">
        <v>234</v>
      </c>
      <c r="G451" s="35" t="s">
        <v>216</v>
      </c>
      <c r="H451" s="35" t="s">
        <v>212</v>
      </c>
      <c r="I451" s="35" t="s">
        <v>203</v>
      </c>
      <c r="J451" s="35" t="n">
        <v>8</v>
      </c>
      <c r="K451" s="65" t="n">
        <v>30576</v>
      </c>
      <c r="L451" s="65" t="n">
        <v>244608</v>
      </c>
      <c r="M451" s="66" t="n">
        <f aca="false">DATE(YEAR(B451),MONTH(B451),1)</f>
        <v>45689</v>
      </c>
      <c r="N451" s="35" t="str">
        <f aca="false">IF(G451="","Unknown",G451)</f>
        <v>Patna</v>
      </c>
      <c r="O451" s="35" t="str">
        <f aca="false">IF(E451="","Unknown",IF(E451&lt;=25,"18-25",IF(E451&lt;=35,"26-35",IF(E451&lt;=45,"36-45",IF(E451&lt;=55,"46-55","56-65")))))</f>
        <v>26-35</v>
      </c>
      <c r="P451" s="35" t="n">
        <f aca="false">COUNTIF($C$2:$C$1001,C451)</f>
        <v>2</v>
      </c>
      <c r="Q451" s="35" t="n">
        <f aca="false">IF(COUNTIF($C$2:C451,C451)=1,1,0)</f>
        <v>0</v>
      </c>
    </row>
    <row r="452" customFormat="false" ht="15" hidden="false" customHeight="false" outlineLevel="0" collapsed="false">
      <c r="A452" s="35" t="s">
        <v>1434</v>
      </c>
      <c r="B452" s="64" t="n">
        <v>45679</v>
      </c>
      <c r="C452" s="35" t="s">
        <v>1435</v>
      </c>
      <c r="D452" s="35" t="s">
        <v>1436</v>
      </c>
      <c r="E452" s="35" t="n">
        <v>27</v>
      </c>
      <c r="F452" s="35" t="s">
        <v>234</v>
      </c>
      <c r="G452" s="35" t="s">
        <v>223</v>
      </c>
      <c r="H452" s="35" t="s">
        <v>213</v>
      </c>
      <c r="I452" s="35" t="s">
        <v>204</v>
      </c>
      <c r="J452" s="35" t="n">
        <v>7</v>
      </c>
      <c r="K452" s="65" t="n">
        <v>32289.77</v>
      </c>
      <c r="L452" s="65" t="n">
        <v>226028.39</v>
      </c>
      <c r="M452" s="66" t="n">
        <f aca="false">DATE(YEAR(B452),MONTH(B452),1)</f>
        <v>45658</v>
      </c>
      <c r="N452" s="35" t="str">
        <f aca="false">IF(G452="","Unknown",G452)</f>
        <v>Gaya</v>
      </c>
      <c r="O452" s="35" t="str">
        <f aca="false">IF(E452="","Unknown",IF(E452&lt;=25,"18-25",IF(E452&lt;=35,"26-35",IF(E452&lt;=45,"36-45",IF(E452&lt;=55,"46-55","56-65")))))</f>
        <v>26-35</v>
      </c>
      <c r="P452" s="35" t="n">
        <f aca="false">COUNTIF($C$2:$C$1001,C452)</f>
        <v>1</v>
      </c>
      <c r="Q452" s="35" t="n">
        <f aca="false">IF(COUNTIF($C$2:C452,C452)=1,1,0)</f>
        <v>1</v>
      </c>
    </row>
    <row r="453" customFormat="false" ht="15" hidden="false" customHeight="false" outlineLevel="0" collapsed="false">
      <c r="A453" s="35" t="s">
        <v>1437</v>
      </c>
      <c r="B453" s="64" t="n">
        <v>45899</v>
      </c>
      <c r="C453" s="35" t="s">
        <v>1438</v>
      </c>
      <c r="D453" s="35" t="s">
        <v>290</v>
      </c>
      <c r="E453" s="35" t="n">
        <v>39</v>
      </c>
      <c r="F453" s="35" t="s">
        <v>235</v>
      </c>
      <c r="G453" s="35" t="s">
        <v>222</v>
      </c>
      <c r="H453" s="35" t="s">
        <v>213</v>
      </c>
      <c r="I453" s="35" t="s">
        <v>204</v>
      </c>
      <c r="J453" s="35" t="n">
        <v>2</v>
      </c>
      <c r="K453" s="65" t="n">
        <v>18153.87</v>
      </c>
      <c r="L453" s="65" t="n">
        <v>36307.74</v>
      </c>
      <c r="M453" s="66" t="n">
        <f aca="false">DATE(YEAR(B453),MONTH(B453),1)</f>
        <v>45870</v>
      </c>
      <c r="N453" s="35" t="str">
        <f aca="false">IF(G453="","Unknown",G453)</f>
        <v>Pune</v>
      </c>
      <c r="O453" s="35" t="str">
        <f aca="false">IF(E453="","Unknown",IF(E453&lt;=25,"18-25",IF(E453&lt;=35,"26-35",IF(E453&lt;=45,"36-45",IF(E453&lt;=55,"46-55","56-65")))))</f>
        <v>36-45</v>
      </c>
      <c r="P453" s="35" t="n">
        <f aca="false">COUNTIF($C$2:$C$1001,C453)</f>
        <v>1</v>
      </c>
      <c r="Q453" s="35" t="n">
        <f aca="false">IF(COUNTIF($C$2:C453,C453)=1,1,0)</f>
        <v>1</v>
      </c>
    </row>
    <row r="454" customFormat="false" ht="15" hidden="false" customHeight="false" outlineLevel="0" collapsed="false">
      <c r="A454" s="35" t="s">
        <v>1439</v>
      </c>
      <c r="B454" s="64" t="n">
        <v>45915</v>
      </c>
      <c r="C454" s="35" t="s">
        <v>844</v>
      </c>
      <c r="D454" s="35" t="s">
        <v>654</v>
      </c>
      <c r="E454" s="35" t="n">
        <v>57</v>
      </c>
      <c r="F454" s="35" t="s">
        <v>235</v>
      </c>
      <c r="G454" s="35" t="s">
        <v>221</v>
      </c>
      <c r="H454" s="35" t="s">
        <v>208</v>
      </c>
      <c r="I454" s="35" t="s">
        <v>200</v>
      </c>
      <c r="J454" s="35" t="n">
        <v>1</v>
      </c>
      <c r="K454" s="65" t="n">
        <v>5815.69</v>
      </c>
      <c r="L454" s="65" t="n">
        <v>5815.69</v>
      </c>
      <c r="M454" s="66" t="n">
        <f aca="false">DATE(YEAR(B454),MONTH(B454),1)</f>
        <v>45901</v>
      </c>
      <c r="N454" s="35" t="str">
        <f aca="false">IF(G454="","Unknown",G454)</f>
        <v>Delhi</v>
      </c>
      <c r="O454" s="35" t="str">
        <f aca="false">IF(E454="","Unknown",IF(E454&lt;=25,"18-25",IF(E454&lt;=35,"26-35",IF(E454&lt;=45,"36-45",IF(E454&lt;=55,"46-55","56-65")))))</f>
        <v>56-65</v>
      </c>
      <c r="P454" s="35" t="n">
        <f aca="false">COUNTIF($C$2:$C$1001,C454)</f>
        <v>2</v>
      </c>
      <c r="Q454" s="35" t="n">
        <f aca="false">IF(COUNTIF($C$2:C454,C454)=1,1,0)</f>
        <v>0</v>
      </c>
    </row>
    <row r="455" customFormat="false" ht="15" hidden="false" customHeight="false" outlineLevel="0" collapsed="false">
      <c r="A455" s="35" t="s">
        <v>1440</v>
      </c>
      <c r="B455" s="64" t="n">
        <v>45879</v>
      </c>
      <c r="C455" s="35" t="s">
        <v>1441</v>
      </c>
      <c r="D455" s="35" t="s">
        <v>763</v>
      </c>
      <c r="E455" s="35" t="n">
        <v>21</v>
      </c>
      <c r="F455" s="35" t="s">
        <v>235</v>
      </c>
      <c r="G455" s="35" t="s">
        <v>219</v>
      </c>
      <c r="H455" s="35" t="s">
        <v>212</v>
      </c>
      <c r="I455" s="35" t="s">
        <v>203</v>
      </c>
      <c r="J455" s="35" t="n">
        <v>1</v>
      </c>
      <c r="K455" s="65" t="n">
        <v>47927.36</v>
      </c>
      <c r="L455" s="65" t="n">
        <v>47927.36</v>
      </c>
      <c r="M455" s="66" t="n">
        <f aca="false">DATE(YEAR(B455),MONTH(B455),1)</f>
        <v>45870</v>
      </c>
      <c r="N455" s="35" t="str">
        <f aca="false">IF(G455="","Unknown",G455)</f>
        <v>Mumbai</v>
      </c>
      <c r="O455" s="35" t="str">
        <f aca="false">IF(E455="","Unknown",IF(E455&lt;=25,"18-25",IF(E455&lt;=35,"26-35",IF(E455&lt;=45,"36-45",IF(E455&lt;=55,"46-55","56-65")))))</f>
        <v>18-25</v>
      </c>
      <c r="P455" s="35" t="n">
        <f aca="false">COUNTIF($C$2:$C$1001,C455)</f>
        <v>1</v>
      </c>
      <c r="Q455" s="35" t="n">
        <f aca="false">IF(COUNTIF($C$2:C455,C455)=1,1,0)</f>
        <v>1</v>
      </c>
    </row>
    <row r="456" customFormat="false" ht="15" hidden="false" customHeight="false" outlineLevel="0" collapsed="false">
      <c r="A456" s="35" t="s">
        <v>1442</v>
      </c>
      <c r="B456" s="64" t="n">
        <v>45763</v>
      </c>
      <c r="C456" s="35" t="s">
        <v>1443</v>
      </c>
      <c r="D456" s="35" t="s">
        <v>1153</v>
      </c>
      <c r="E456" s="35" t="n">
        <v>46</v>
      </c>
      <c r="F456" s="35" t="s">
        <v>234</v>
      </c>
      <c r="G456" s="35" t="s">
        <v>222</v>
      </c>
      <c r="H456" s="35" t="s">
        <v>208</v>
      </c>
      <c r="I456" s="35" t="s">
        <v>200</v>
      </c>
      <c r="J456" s="35" t="n">
        <v>8</v>
      </c>
      <c r="K456" s="65" t="n">
        <v>30816.21</v>
      </c>
      <c r="L456" s="65" t="n">
        <v>246529.68</v>
      </c>
      <c r="M456" s="66" t="n">
        <f aca="false">DATE(YEAR(B456),MONTH(B456),1)</f>
        <v>45748</v>
      </c>
      <c r="N456" s="35" t="str">
        <f aca="false">IF(G456="","Unknown",G456)</f>
        <v>Pune</v>
      </c>
      <c r="O456" s="35" t="str">
        <f aca="false">IF(E456="","Unknown",IF(E456&lt;=25,"18-25",IF(E456&lt;=35,"26-35",IF(E456&lt;=45,"36-45",IF(E456&lt;=55,"46-55","56-65")))))</f>
        <v>46-55</v>
      </c>
      <c r="P456" s="35" t="n">
        <f aca="false">COUNTIF($C$2:$C$1001,C456)</f>
        <v>1</v>
      </c>
      <c r="Q456" s="35" t="n">
        <f aca="false">IF(COUNTIF($C$2:C456,C456)=1,1,0)</f>
        <v>1</v>
      </c>
    </row>
    <row r="457" customFormat="false" ht="15" hidden="false" customHeight="false" outlineLevel="0" collapsed="false">
      <c r="A457" s="35" t="s">
        <v>1444</v>
      </c>
      <c r="B457" s="64" t="n">
        <v>45705</v>
      </c>
      <c r="C457" s="35" t="s">
        <v>1445</v>
      </c>
      <c r="D457" s="35" t="s">
        <v>1446</v>
      </c>
      <c r="E457" s="35" t="n">
        <v>45</v>
      </c>
      <c r="F457" s="35" t="s">
        <v>235</v>
      </c>
      <c r="G457" s="35" t="s">
        <v>218</v>
      </c>
      <c r="H457" s="35" t="s">
        <v>212</v>
      </c>
      <c r="I457" s="35" t="s">
        <v>203</v>
      </c>
      <c r="J457" s="35" t="n">
        <v>2</v>
      </c>
      <c r="K457" s="65" t="n">
        <v>45809.09</v>
      </c>
      <c r="L457" s="65" t="n">
        <v>91618.18</v>
      </c>
      <c r="M457" s="66" t="n">
        <f aca="false">DATE(YEAR(B457),MONTH(B457),1)</f>
        <v>45689</v>
      </c>
      <c r="N457" s="35" t="str">
        <f aca="false">IF(G457="","Unknown",G457)</f>
        <v>Bengaluru</v>
      </c>
      <c r="O457" s="35" t="str">
        <f aca="false">IF(E457="","Unknown",IF(E457&lt;=25,"18-25",IF(E457&lt;=35,"26-35",IF(E457&lt;=45,"36-45",IF(E457&lt;=55,"46-55","56-65")))))</f>
        <v>36-45</v>
      </c>
      <c r="P457" s="35" t="n">
        <f aca="false">COUNTIF($C$2:$C$1001,C457)</f>
        <v>1</v>
      </c>
      <c r="Q457" s="35" t="n">
        <f aca="false">IF(COUNTIF($C$2:C457,C457)=1,1,0)</f>
        <v>1</v>
      </c>
    </row>
    <row r="458" customFormat="false" ht="15" hidden="false" customHeight="false" outlineLevel="0" collapsed="false">
      <c r="A458" s="35" t="s">
        <v>1447</v>
      </c>
      <c r="B458" s="64" t="n">
        <v>45736</v>
      </c>
      <c r="C458" s="35" t="s">
        <v>1448</v>
      </c>
      <c r="D458" s="35" t="s">
        <v>1449</v>
      </c>
      <c r="E458" s="35" t="n">
        <v>22</v>
      </c>
      <c r="F458" s="35" t="s">
        <v>234</v>
      </c>
      <c r="G458" s="35" t="s">
        <v>220</v>
      </c>
      <c r="H458" s="35" t="s">
        <v>212</v>
      </c>
      <c r="I458" s="35" t="s">
        <v>203</v>
      </c>
      <c r="J458" s="35" t="n">
        <v>10</v>
      </c>
      <c r="K458" s="65" t="n">
        <v>7127.33</v>
      </c>
      <c r="L458" s="65" t="n">
        <v>71273.3</v>
      </c>
      <c r="M458" s="66" t="n">
        <f aca="false">DATE(YEAR(B458),MONTH(B458),1)</f>
        <v>45717</v>
      </c>
      <c r="N458" s="35" t="str">
        <f aca="false">IF(G458="","Unknown",G458)</f>
        <v>Hyderabad</v>
      </c>
      <c r="O458" s="35" t="str">
        <f aca="false">IF(E458="","Unknown",IF(E458&lt;=25,"18-25",IF(E458&lt;=35,"26-35",IF(E458&lt;=45,"36-45",IF(E458&lt;=55,"46-55","56-65")))))</f>
        <v>18-25</v>
      </c>
      <c r="P458" s="35" t="n">
        <f aca="false">COUNTIF($C$2:$C$1001,C458)</f>
        <v>1</v>
      </c>
      <c r="Q458" s="35" t="n">
        <f aca="false">IF(COUNTIF($C$2:C458,C458)=1,1,0)</f>
        <v>1</v>
      </c>
    </row>
    <row r="459" customFormat="false" ht="15" hidden="false" customHeight="false" outlineLevel="0" collapsed="false">
      <c r="A459" s="35" t="s">
        <v>1450</v>
      </c>
      <c r="B459" s="64" t="n">
        <v>45775</v>
      </c>
      <c r="C459" s="35" t="s">
        <v>1451</v>
      </c>
      <c r="D459" s="35" t="s">
        <v>669</v>
      </c>
      <c r="E459" s="35" t="n">
        <v>38</v>
      </c>
      <c r="F459" s="35" t="s">
        <v>235</v>
      </c>
      <c r="G459" s="35" t="s">
        <v>221</v>
      </c>
      <c r="H459" s="35" t="s">
        <v>210</v>
      </c>
      <c r="I459" s="35" t="s">
        <v>201</v>
      </c>
      <c r="J459" s="35" t="n">
        <v>9</v>
      </c>
      <c r="K459" s="65" t="n">
        <v>41434.83</v>
      </c>
      <c r="L459" s="65" t="n">
        <v>372913.47</v>
      </c>
      <c r="M459" s="66" t="n">
        <f aca="false">DATE(YEAR(B459),MONTH(B459),1)</f>
        <v>45748</v>
      </c>
      <c r="N459" s="35" t="str">
        <f aca="false">IF(G459="","Unknown",G459)</f>
        <v>Delhi</v>
      </c>
      <c r="O459" s="35" t="str">
        <f aca="false">IF(E459="","Unknown",IF(E459&lt;=25,"18-25",IF(E459&lt;=35,"26-35",IF(E459&lt;=45,"36-45",IF(E459&lt;=55,"46-55","56-65")))))</f>
        <v>36-45</v>
      </c>
      <c r="P459" s="35" t="n">
        <f aca="false">COUNTIF($C$2:$C$1001,C459)</f>
        <v>1</v>
      </c>
      <c r="Q459" s="35" t="n">
        <f aca="false">IF(COUNTIF($C$2:C459,C459)=1,1,0)</f>
        <v>1</v>
      </c>
    </row>
    <row r="460" customFormat="false" ht="15" hidden="false" customHeight="false" outlineLevel="0" collapsed="false">
      <c r="A460" s="35" t="s">
        <v>1452</v>
      </c>
      <c r="B460" s="64" t="n">
        <v>45764</v>
      </c>
      <c r="C460" s="35" t="s">
        <v>1453</v>
      </c>
      <c r="D460" s="35" t="s">
        <v>1206</v>
      </c>
      <c r="E460" s="35" t="n">
        <v>50</v>
      </c>
      <c r="F460" s="35" t="s">
        <v>235</v>
      </c>
      <c r="G460" s="35" t="s">
        <v>221</v>
      </c>
      <c r="H460" s="35" t="s">
        <v>210</v>
      </c>
      <c r="I460" s="35" t="s">
        <v>201</v>
      </c>
      <c r="J460" s="35" t="n">
        <v>4</v>
      </c>
      <c r="K460" s="65" t="n">
        <v>36242.41</v>
      </c>
      <c r="L460" s="65" t="n">
        <v>144969.64</v>
      </c>
      <c r="M460" s="66" t="n">
        <f aca="false">DATE(YEAR(B460),MONTH(B460),1)</f>
        <v>45748</v>
      </c>
      <c r="N460" s="35" t="str">
        <f aca="false">IF(G460="","Unknown",G460)</f>
        <v>Delhi</v>
      </c>
      <c r="O460" s="35" t="str">
        <f aca="false">IF(E460="","Unknown",IF(E460&lt;=25,"18-25",IF(E460&lt;=35,"26-35",IF(E460&lt;=45,"36-45",IF(E460&lt;=55,"46-55","56-65")))))</f>
        <v>46-55</v>
      </c>
      <c r="P460" s="35" t="n">
        <f aca="false">COUNTIF($C$2:$C$1001,C460)</f>
        <v>1</v>
      </c>
      <c r="Q460" s="35" t="n">
        <f aca="false">IF(COUNTIF($C$2:C460,C460)=1,1,0)</f>
        <v>1</v>
      </c>
    </row>
    <row r="461" customFormat="false" ht="15" hidden="false" customHeight="false" outlineLevel="0" collapsed="false">
      <c r="A461" s="35" t="s">
        <v>1454</v>
      </c>
      <c r="B461" s="64" t="n">
        <v>45849</v>
      </c>
      <c r="C461" s="35" t="s">
        <v>1455</v>
      </c>
      <c r="D461" s="35" t="s">
        <v>1456</v>
      </c>
      <c r="E461" s="35" t="n">
        <v>48</v>
      </c>
      <c r="F461" s="35" t="s">
        <v>235</v>
      </c>
      <c r="G461" s="35" t="s">
        <v>222</v>
      </c>
      <c r="H461" s="35" t="s">
        <v>210</v>
      </c>
      <c r="I461" s="35" t="s">
        <v>201</v>
      </c>
      <c r="J461" s="35" t="n">
        <v>10</v>
      </c>
      <c r="K461" s="65" t="n">
        <v>13908.48</v>
      </c>
      <c r="L461" s="65" t="n">
        <v>139084.8</v>
      </c>
      <c r="M461" s="66" t="n">
        <f aca="false">DATE(YEAR(B461),MONTH(B461),1)</f>
        <v>45839</v>
      </c>
      <c r="N461" s="35" t="str">
        <f aca="false">IF(G461="","Unknown",G461)</f>
        <v>Pune</v>
      </c>
      <c r="O461" s="35" t="str">
        <f aca="false">IF(E461="","Unknown",IF(E461&lt;=25,"18-25",IF(E461&lt;=35,"26-35",IF(E461&lt;=45,"36-45",IF(E461&lt;=55,"46-55","56-65")))))</f>
        <v>46-55</v>
      </c>
      <c r="P461" s="35" t="n">
        <f aca="false">COUNTIF($C$2:$C$1001,C461)</f>
        <v>1</v>
      </c>
      <c r="Q461" s="35" t="n">
        <f aca="false">IF(COUNTIF($C$2:C461,C461)=1,1,0)</f>
        <v>1</v>
      </c>
    </row>
    <row r="462" customFormat="false" ht="15" hidden="false" customHeight="false" outlineLevel="0" collapsed="false">
      <c r="A462" s="35" t="s">
        <v>1457</v>
      </c>
      <c r="B462" s="64" t="n">
        <v>45738</v>
      </c>
      <c r="C462" s="35" t="s">
        <v>1458</v>
      </c>
      <c r="D462" s="35" t="s">
        <v>1015</v>
      </c>
      <c r="E462" s="35" t="n">
        <v>38</v>
      </c>
      <c r="F462" s="35" t="s">
        <v>235</v>
      </c>
      <c r="G462" s="35" t="s">
        <v>217</v>
      </c>
      <c r="H462" s="35" t="s">
        <v>208</v>
      </c>
      <c r="I462" s="35" t="s">
        <v>200</v>
      </c>
      <c r="J462" s="35" t="n">
        <v>1</v>
      </c>
      <c r="K462" s="65" t="n">
        <v>9009.36</v>
      </c>
      <c r="L462" s="65" t="n">
        <v>9009.36</v>
      </c>
      <c r="M462" s="66" t="n">
        <f aca="false">DATE(YEAR(B462),MONTH(B462),1)</f>
        <v>45717</v>
      </c>
      <c r="N462" s="35" t="str">
        <f aca="false">IF(G462="","Unknown",G462)</f>
        <v>Kolkata</v>
      </c>
      <c r="O462" s="35" t="str">
        <f aca="false">IF(E462="","Unknown",IF(E462&lt;=25,"18-25",IF(E462&lt;=35,"26-35",IF(E462&lt;=45,"36-45",IF(E462&lt;=55,"46-55","56-65")))))</f>
        <v>36-45</v>
      </c>
      <c r="P462" s="35" t="n">
        <f aca="false">COUNTIF($C$2:$C$1001,C462)</f>
        <v>1</v>
      </c>
      <c r="Q462" s="35" t="n">
        <f aca="false">IF(COUNTIF($C$2:C462,C462)=1,1,0)</f>
        <v>1</v>
      </c>
    </row>
    <row r="463" customFormat="false" ht="15" hidden="false" customHeight="false" outlineLevel="0" collapsed="false">
      <c r="A463" s="35" t="s">
        <v>1459</v>
      </c>
      <c r="B463" s="64" t="n">
        <v>45772</v>
      </c>
      <c r="C463" s="35" t="s">
        <v>1460</v>
      </c>
      <c r="D463" s="35" t="s">
        <v>600</v>
      </c>
      <c r="E463" s="35" t="n">
        <v>43</v>
      </c>
      <c r="F463" s="35" t="s">
        <v>235</v>
      </c>
      <c r="G463" s="35" t="s">
        <v>221</v>
      </c>
      <c r="H463" s="35" t="s">
        <v>213</v>
      </c>
      <c r="I463" s="35" t="s">
        <v>204</v>
      </c>
      <c r="J463" s="35" t="n">
        <v>6</v>
      </c>
      <c r="K463" s="65" t="n">
        <v>36021.08</v>
      </c>
      <c r="L463" s="65" t="n">
        <v>216126.48</v>
      </c>
      <c r="M463" s="66" t="n">
        <f aca="false">DATE(YEAR(B463),MONTH(B463),1)</f>
        <v>45748</v>
      </c>
      <c r="N463" s="35" t="str">
        <f aca="false">IF(G463="","Unknown",G463)</f>
        <v>Delhi</v>
      </c>
      <c r="O463" s="35" t="str">
        <f aca="false">IF(E463="","Unknown",IF(E463&lt;=25,"18-25",IF(E463&lt;=35,"26-35",IF(E463&lt;=45,"36-45",IF(E463&lt;=55,"46-55","56-65")))))</f>
        <v>36-45</v>
      </c>
      <c r="P463" s="35" t="n">
        <f aca="false">COUNTIF($C$2:$C$1001,C463)</f>
        <v>1</v>
      </c>
      <c r="Q463" s="35" t="n">
        <f aca="false">IF(COUNTIF($C$2:C463,C463)=1,1,0)</f>
        <v>1</v>
      </c>
    </row>
    <row r="464" customFormat="false" ht="15" hidden="false" customHeight="false" outlineLevel="0" collapsed="false">
      <c r="A464" s="35" t="s">
        <v>1461</v>
      </c>
      <c r="B464" s="64" t="n">
        <v>45917</v>
      </c>
      <c r="C464" s="35" t="s">
        <v>1462</v>
      </c>
      <c r="D464" s="35" t="s">
        <v>573</v>
      </c>
      <c r="E464" s="35" t="n">
        <v>46</v>
      </c>
      <c r="F464" s="35" t="s">
        <v>235</v>
      </c>
      <c r="G464" s="35" t="s">
        <v>220</v>
      </c>
      <c r="H464" s="35" t="s">
        <v>210</v>
      </c>
      <c r="I464" s="35" t="s">
        <v>201</v>
      </c>
      <c r="J464" s="35" t="n">
        <v>10</v>
      </c>
      <c r="K464" s="65" t="n">
        <v>44045.66</v>
      </c>
      <c r="L464" s="65" t="n">
        <v>440456.6</v>
      </c>
      <c r="M464" s="66" t="n">
        <f aca="false">DATE(YEAR(B464),MONTH(B464),1)</f>
        <v>45901</v>
      </c>
      <c r="N464" s="35" t="str">
        <f aca="false">IF(G464="","Unknown",G464)</f>
        <v>Hyderabad</v>
      </c>
      <c r="O464" s="35" t="str">
        <f aca="false">IF(E464="","Unknown",IF(E464&lt;=25,"18-25",IF(E464&lt;=35,"26-35",IF(E464&lt;=45,"36-45",IF(E464&lt;=55,"46-55","56-65")))))</f>
        <v>46-55</v>
      </c>
      <c r="P464" s="35" t="n">
        <f aca="false">COUNTIF($C$2:$C$1001,C464)</f>
        <v>1</v>
      </c>
      <c r="Q464" s="35" t="n">
        <f aca="false">IF(COUNTIF($C$2:C464,C464)=1,1,0)</f>
        <v>1</v>
      </c>
    </row>
    <row r="465" customFormat="false" ht="15" hidden="false" customHeight="false" outlineLevel="0" collapsed="false">
      <c r="A465" s="35" t="s">
        <v>1463</v>
      </c>
      <c r="B465" s="64" t="n">
        <v>45868</v>
      </c>
      <c r="C465" s="35" t="s">
        <v>1464</v>
      </c>
      <c r="D465" s="35" t="s">
        <v>1465</v>
      </c>
      <c r="E465" s="35" t="n">
        <v>65</v>
      </c>
      <c r="F465" s="35" t="s">
        <v>235</v>
      </c>
      <c r="G465" s="35" t="s">
        <v>216</v>
      </c>
      <c r="H465" s="35" t="s">
        <v>210</v>
      </c>
      <c r="I465" s="35" t="s">
        <v>201</v>
      </c>
      <c r="J465" s="35" t="n">
        <v>3</v>
      </c>
      <c r="K465" s="65" t="n">
        <v>41596.85</v>
      </c>
      <c r="L465" s="65" t="n">
        <v>124790.55</v>
      </c>
      <c r="M465" s="66" t="n">
        <f aca="false">DATE(YEAR(B465),MONTH(B465),1)</f>
        <v>45839</v>
      </c>
      <c r="N465" s="35" t="str">
        <f aca="false">IF(G465="","Unknown",G465)</f>
        <v>Patna</v>
      </c>
      <c r="O465" s="35" t="str">
        <f aca="false">IF(E465="","Unknown",IF(E465&lt;=25,"18-25",IF(E465&lt;=35,"26-35",IF(E465&lt;=45,"36-45",IF(E465&lt;=55,"46-55","56-65")))))</f>
        <v>56-65</v>
      </c>
      <c r="P465" s="35" t="n">
        <f aca="false">COUNTIF($C$2:$C$1001,C465)</f>
        <v>1</v>
      </c>
      <c r="Q465" s="35" t="n">
        <f aca="false">IF(COUNTIF($C$2:C465,C465)=1,1,0)</f>
        <v>1</v>
      </c>
    </row>
    <row r="466" customFormat="false" ht="15" hidden="false" customHeight="false" outlineLevel="0" collapsed="false">
      <c r="A466" s="35" t="s">
        <v>1466</v>
      </c>
      <c r="B466" s="64" t="n">
        <v>45894</v>
      </c>
      <c r="C466" s="35" t="s">
        <v>1467</v>
      </c>
      <c r="D466" s="35" t="s">
        <v>494</v>
      </c>
      <c r="E466" s="35" t="n">
        <v>30</v>
      </c>
      <c r="F466" s="35" t="s">
        <v>234</v>
      </c>
      <c r="G466" s="35" t="s">
        <v>217</v>
      </c>
      <c r="H466" s="35" t="s">
        <v>210</v>
      </c>
      <c r="I466" s="35" t="s">
        <v>201</v>
      </c>
      <c r="J466" s="35" t="n">
        <v>9</v>
      </c>
      <c r="K466" s="65" t="n">
        <v>21020.37</v>
      </c>
      <c r="L466" s="65" t="n">
        <v>189183.33</v>
      </c>
      <c r="M466" s="66" t="n">
        <f aca="false">DATE(YEAR(B466),MONTH(B466),1)</f>
        <v>45870</v>
      </c>
      <c r="N466" s="35" t="str">
        <f aca="false">IF(G466="","Unknown",G466)</f>
        <v>Kolkata</v>
      </c>
      <c r="O466" s="35" t="str">
        <f aca="false">IF(E466="","Unknown",IF(E466&lt;=25,"18-25",IF(E466&lt;=35,"26-35",IF(E466&lt;=45,"36-45",IF(E466&lt;=55,"46-55","56-65")))))</f>
        <v>26-35</v>
      </c>
      <c r="P466" s="35" t="n">
        <f aca="false">COUNTIF($C$2:$C$1001,C466)</f>
        <v>1</v>
      </c>
      <c r="Q466" s="35" t="n">
        <f aca="false">IF(COUNTIF($C$2:C466,C466)=1,1,0)</f>
        <v>1</v>
      </c>
    </row>
    <row r="467" customFormat="false" ht="15" hidden="false" customHeight="false" outlineLevel="0" collapsed="false">
      <c r="A467" s="35" t="s">
        <v>1468</v>
      </c>
      <c r="B467" s="64" t="n">
        <v>45804</v>
      </c>
      <c r="C467" s="35" t="s">
        <v>1469</v>
      </c>
      <c r="D467" s="35" t="s">
        <v>1470</v>
      </c>
      <c r="E467" s="35" t="n">
        <v>55</v>
      </c>
      <c r="F467" s="35" t="s">
        <v>235</v>
      </c>
      <c r="G467" s="35" t="s">
        <v>217</v>
      </c>
      <c r="H467" s="35" t="s">
        <v>210</v>
      </c>
      <c r="I467" s="35" t="s">
        <v>201</v>
      </c>
      <c r="J467" s="35" t="n">
        <v>6</v>
      </c>
      <c r="K467" s="65" t="n">
        <v>28483.33</v>
      </c>
      <c r="L467" s="65" t="n">
        <v>170899.98</v>
      </c>
      <c r="M467" s="66" t="n">
        <f aca="false">DATE(YEAR(B467),MONTH(B467),1)</f>
        <v>45778</v>
      </c>
      <c r="N467" s="35" t="str">
        <f aca="false">IF(G467="","Unknown",G467)</f>
        <v>Kolkata</v>
      </c>
      <c r="O467" s="35" t="str">
        <f aca="false">IF(E467="","Unknown",IF(E467&lt;=25,"18-25",IF(E467&lt;=35,"26-35",IF(E467&lt;=45,"36-45",IF(E467&lt;=55,"46-55","56-65")))))</f>
        <v>46-55</v>
      </c>
      <c r="P467" s="35" t="n">
        <f aca="false">COUNTIF($C$2:$C$1001,C467)</f>
        <v>1</v>
      </c>
      <c r="Q467" s="35" t="n">
        <f aca="false">IF(COUNTIF($C$2:C467,C467)=1,1,0)</f>
        <v>1</v>
      </c>
    </row>
    <row r="468" customFormat="false" ht="15" hidden="false" customHeight="false" outlineLevel="0" collapsed="false">
      <c r="A468" s="35" t="s">
        <v>1471</v>
      </c>
      <c r="B468" s="64" t="n">
        <v>46014</v>
      </c>
      <c r="C468" s="35" t="s">
        <v>1472</v>
      </c>
      <c r="D468" s="35" t="s">
        <v>491</v>
      </c>
      <c r="E468" s="35" t="n">
        <v>20</v>
      </c>
      <c r="F468" s="35" t="s">
        <v>235</v>
      </c>
      <c r="G468" s="35" t="s">
        <v>216</v>
      </c>
      <c r="H468" s="35" t="s">
        <v>210</v>
      </c>
      <c r="I468" s="35" t="s">
        <v>201</v>
      </c>
      <c r="J468" s="35" t="n">
        <v>8</v>
      </c>
      <c r="K468" s="65" t="n">
        <v>22060.38</v>
      </c>
      <c r="L468" s="65" t="n">
        <v>176483.04</v>
      </c>
      <c r="M468" s="66" t="n">
        <f aca="false">DATE(YEAR(B468),MONTH(B468),1)</f>
        <v>45992</v>
      </c>
      <c r="N468" s="35" t="str">
        <f aca="false">IF(G468="","Unknown",G468)</f>
        <v>Patna</v>
      </c>
      <c r="O468" s="35" t="str">
        <f aca="false">IF(E468="","Unknown",IF(E468&lt;=25,"18-25",IF(E468&lt;=35,"26-35",IF(E468&lt;=45,"36-45",IF(E468&lt;=55,"46-55","56-65")))))</f>
        <v>18-25</v>
      </c>
      <c r="P468" s="35" t="n">
        <f aca="false">COUNTIF($C$2:$C$1001,C468)</f>
        <v>1</v>
      </c>
      <c r="Q468" s="35" t="n">
        <f aca="false">IF(COUNTIF($C$2:C468,C468)=1,1,0)</f>
        <v>1</v>
      </c>
    </row>
    <row r="469" customFormat="false" ht="15" hidden="false" customHeight="false" outlineLevel="0" collapsed="false">
      <c r="A469" s="35" t="s">
        <v>1473</v>
      </c>
      <c r="B469" s="64" t="n">
        <v>45762</v>
      </c>
      <c r="C469" s="35" t="s">
        <v>1474</v>
      </c>
      <c r="D469" s="35" t="s">
        <v>1475</v>
      </c>
      <c r="E469" s="35" t="n">
        <v>30</v>
      </c>
      <c r="F469" s="35" t="s">
        <v>234</v>
      </c>
      <c r="G469" s="35" t="s">
        <v>221</v>
      </c>
      <c r="H469" s="35" t="s">
        <v>209</v>
      </c>
      <c r="I469" s="35" t="s">
        <v>200</v>
      </c>
      <c r="J469" s="35" t="n">
        <v>9</v>
      </c>
      <c r="K469" s="65" t="n">
        <v>17074.46</v>
      </c>
      <c r="L469" s="65" t="n">
        <v>153670.14</v>
      </c>
      <c r="M469" s="66" t="n">
        <f aca="false">DATE(YEAR(B469),MONTH(B469),1)</f>
        <v>45748</v>
      </c>
      <c r="N469" s="35" t="str">
        <f aca="false">IF(G469="","Unknown",G469)</f>
        <v>Delhi</v>
      </c>
      <c r="O469" s="35" t="str">
        <f aca="false">IF(E469="","Unknown",IF(E469&lt;=25,"18-25",IF(E469&lt;=35,"26-35",IF(E469&lt;=45,"36-45",IF(E469&lt;=55,"46-55","56-65")))))</f>
        <v>26-35</v>
      </c>
      <c r="P469" s="35" t="n">
        <f aca="false">COUNTIF($C$2:$C$1001,C469)</f>
        <v>1</v>
      </c>
      <c r="Q469" s="35" t="n">
        <f aca="false">IF(COUNTIF($C$2:C469,C469)=1,1,0)</f>
        <v>1</v>
      </c>
    </row>
    <row r="470" customFormat="false" ht="15" hidden="false" customHeight="false" outlineLevel="0" collapsed="false">
      <c r="A470" s="35" t="s">
        <v>1476</v>
      </c>
      <c r="B470" s="64" t="n">
        <v>45782</v>
      </c>
      <c r="C470" s="35" t="s">
        <v>1477</v>
      </c>
      <c r="D470" s="35" t="s">
        <v>1478</v>
      </c>
      <c r="E470" s="35" t="n">
        <v>51</v>
      </c>
      <c r="F470" s="35" t="s">
        <v>234</v>
      </c>
      <c r="G470" s="35" t="s">
        <v>223</v>
      </c>
      <c r="H470" s="35" t="s">
        <v>213</v>
      </c>
      <c r="I470" s="35" t="s">
        <v>204</v>
      </c>
      <c r="J470" s="35" t="n">
        <v>6</v>
      </c>
      <c r="K470" s="65" t="n">
        <v>7136.1</v>
      </c>
      <c r="L470" s="65" t="n">
        <v>42816.6</v>
      </c>
      <c r="M470" s="66" t="n">
        <f aca="false">DATE(YEAR(B470),MONTH(B470),1)</f>
        <v>45778</v>
      </c>
      <c r="N470" s="35" t="str">
        <f aca="false">IF(G470="","Unknown",G470)</f>
        <v>Gaya</v>
      </c>
      <c r="O470" s="35" t="str">
        <f aca="false">IF(E470="","Unknown",IF(E470&lt;=25,"18-25",IF(E470&lt;=35,"26-35",IF(E470&lt;=45,"36-45",IF(E470&lt;=55,"46-55","56-65")))))</f>
        <v>46-55</v>
      </c>
      <c r="P470" s="35" t="n">
        <f aca="false">COUNTIF($C$2:$C$1001,C470)</f>
        <v>1</v>
      </c>
      <c r="Q470" s="35" t="n">
        <f aca="false">IF(COUNTIF($C$2:C470,C470)=1,1,0)</f>
        <v>1</v>
      </c>
    </row>
    <row r="471" customFormat="false" ht="15" hidden="false" customHeight="false" outlineLevel="0" collapsed="false">
      <c r="A471" s="35" t="s">
        <v>1479</v>
      </c>
      <c r="B471" s="64" t="n">
        <v>45979</v>
      </c>
      <c r="C471" s="35" t="s">
        <v>1480</v>
      </c>
      <c r="D471" s="35" t="s">
        <v>1049</v>
      </c>
      <c r="E471" s="35" t="n">
        <v>56</v>
      </c>
      <c r="F471" s="35" t="s">
        <v>234</v>
      </c>
      <c r="G471" s="35" t="s">
        <v>221</v>
      </c>
      <c r="H471" s="35" t="s">
        <v>211</v>
      </c>
      <c r="I471" s="35" t="s">
        <v>202</v>
      </c>
      <c r="J471" s="35" t="n">
        <v>4</v>
      </c>
      <c r="K471" s="65" t="n">
        <v>33964.14</v>
      </c>
      <c r="L471" s="65" t="n">
        <v>135856.56</v>
      </c>
      <c r="M471" s="66" t="n">
        <f aca="false">DATE(YEAR(B471),MONTH(B471),1)</f>
        <v>45962</v>
      </c>
      <c r="N471" s="35" t="str">
        <f aca="false">IF(G471="","Unknown",G471)</f>
        <v>Delhi</v>
      </c>
      <c r="O471" s="35" t="str">
        <f aca="false">IF(E471="","Unknown",IF(E471&lt;=25,"18-25",IF(E471&lt;=35,"26-35",IF(E471&lt;=45,"36-45",IF(E471&lt;=55,"46-55","56-65")))))</f>
        <v>56-65</v>
      </c>
      <c r="P471" s="35" t="n">
        <f aca="false">COUNTIF($C$2:$C$1001,C471)</f>
        <v>2</v>
      </c>
      <c r="Q471" s="35" t="n">
        <f aca="false">IF(COUNTIF($C$2:C471,C471)=1,1,0)</f>
        <v>1</v>
      </c>
    </row>
    <row r="472" customFormat="false" ht="15" hidden="false" customHeight="false" outlineLevel="0" collapsed="false">
      <c r="A472" s="35" t="s">
        <v>1481</v>
      </c>
      <c r="B472" s="64" t="n">
        <v>45735</v>
      </c>
      <c r="C472" s="35" t="s">
        <v>1482</v>
      </c>
      <c r="D472" s="35" t="s">
        <v>1483</v>
      </c>
      <c r="E472" s="35" t="n">
        <v>62</v>
      </c>
      <c r="F472" s="35" t="s">
        <v>235</v>
      </c>
      <c r="G472" s="35" t="s">
        <v>218</v>
      </c>
      <c r="H472" s="35" t="s">
        <v>212</v>
      </c>
      <c r="I472" s="35" t="s">
        <v>203</v>
      </c>
      <c r="J472" s="35" t="n">
        <v>7</v>
      </c>
      <c r="K472" s="65" t="n">
        <v>46331.16</v>
      </c>
      <c r="L472" s="65" t="n">
        <v>324318.12</v>
      </c>
      <c r="M472" s="66" t="n">
        <f aca="false">DATE(YEAR(B472),MONTH(B472),1)</f>
        <v>45717</v>
      </c>
      <c r="N472" s="35" t="str">
        <f aca="false">IF(G472="","Unknown",G472)</f>
        <v>Bengaluru</v>
      </c>
      <c r="O472" s="35" t="str">
        <f aca="false">IF(E472="","Unknown",IF(E472&lt;=25,"18-25",IF(E472&lt;=35,"26-35",IF(E472&lt;=45,"36-45",IF(E472&lt;=55,"46-55","56-65")))))</f>
        <v>56-65</v>
      </c>
      <c r="P472" s="35" t="n">
        <f aca="false">COUNTIF($C$2:$C$1001,C472)</f>
        <v>1</v>
      </c>
      <c r="Q472" s="35" t="n">
        <f aca="false">IF(COUNTIF($C$2:C472,C472)=1,1,0)</f>
        <v>1</v>
      </c>
    </row>
    <row r="473" customFormat="false" ht="15" hidden="false" customHeight="false" outlineLevel="0" collapsed="false">
      <c r="A473" s="35" t="s">
        <v>1484</v>
      </c>
      <c r="B473" s="64" t="n">
        <v>45711</v>
      </c>
      <c r="C473" s="35" t="s">
        <v>1000</v>
      </c>
      <c r="D473" s="35" t="s">
        <v>789</v>
      </c>
      <c r="E473" s="35" t="n">
        <v>21</v>
      </c>
      <c r="F473" s="35" t="s">
        <v>234</v>
      </c>
      <c r="G473" s="35" t="s">
        <v>219</v>
      </c>
      <c r="H473" s="35" t="s">
        <v>211</v>
      </c>
      <c r="I473" s="35" t="s">
        <v>202</v>
      </c>
      <c r="J473" s="35" t="n">
        <v>10</v>
      </c>
      <c r="K473" s="65" t="n">
        <v>27530.02</v>
      </c>
      <c r="L473" s="65" t="n">
        <v>275300.2</v>
      </c>
      <c r="M473" s="66" t="n">
        <f aca="false">DATE(YEAR(B473),MONTH(B473),1)</f>
        <v>45689</v>
      </c>
      <c r="N473" s="35" t="str">
        <f aca="false">IF(G473="","Unknown",G473)</f>
        <v>Mumbai</v>
      </c>
      <c r="O473" s="35" t="str">
        <f aca="false">IF(E473="","Unknown",IF(E473&lt;=25,"18-25",IF(E473&lt;=35,"26-35",IF(E473&lt;=45,"36-45",IF(E473&lt;=55,"46-55","56-65")))))</f>
        <v>18-25</v>
      </c>
      <c r="P473" s="35" t="n">
        <f aca="false">COUNTIF($C$2:$C$1001,C473)</f>
        <v>2</v>
      </c>
      <c r="Q473" s="35" t="n">
        <f aca="false">IF(COUNTIF($C$2:C473,C473)=1,1,0)</f>
        <v>0</v>
      </c>
    </row>
    <row r="474" customFormat="false" ht="15" hidden="false" customHeight="false" outlineLevel="0" collapsed="false">
      <c r="A474" s="35" t="s">
        <v>1485</v>
      </c>
      <c r="B474" s="64" t="n">
        <v>45999</v>
      </c>
      <c r="C474" s="35" t="s">
        <v>1486</v>
      </c>
      <c r="D474" s="35" t="s">
        <v>1487</v>
      </c>
      <c r="E474" s="35" t="n">
        <v>57</v>
      </c>
      <c r="F474" s="35" t="s">
        <v>235</v>
      </c>
      <c r="G474" s="35" t="s">
        <v>219</v>
      </c>
      <c r="H474" s="35" t="s">
        <v>208</v>
      </c>
      <c r="I474" s="35" t="s">
        <v>200</v>
      </c>
      <c r="J474" s="35" t="n">
        <v>2</v>
      </c>
      <c r="K474" s="65" t="n">
        <v>24291.74</v>
      </c>
      <c r="L474" s="65" t="n">
        <v>48583.48</v>
      </c>
      <c r="M474" s="66" t="n">
        <f aca="false">DATE(YEAR(B474),MONTH(B474),1)</f>
        <v>45992</v>
      </c>
      <c r="N474" s="35" t="str">
        <f aca="false">IF(G474="","Unknown",G474)</f>
        <v>Mumbai</v>
      </c>
      <c r="O474" s="35" t="str">
        <f aca="false">IF(E474="","Unknown",IF(E474&lt;=25,"18-25",IF(E474&lt;=35,"26-35",IF(E474&lt;=45,"36-45",IF(E474&lt;=55,"46-55","56-65")))))</f>
        <v>56-65</v>
      </c>
      <c r="P474" s="35" t="n">
        <f aca="false">COUNTIF($C$2:$C$1001,C474)</f>
        <v>1</v>
      </c>
      <c r="Q474" s="35" t="n">
        <f aca="false">IF(COUNTIF($C$2:C474,C474)=1,1,0)</f>
        <v>1</v>
      </c>
    </row>
    <row r="475" customFormat="false" ht="15" hidden="false" customHeight="false" outlineLevel="0" collapsed="false">
      <c r="A475" s="35" t="s">
        <v>1488</v>
      </c>
      <c r="B475" s="64" t="n">
        <v>45862</v>
      </c>
      <c r="C475" s="35" t="s">
        <v>1489</v>
      </c>
      <c r="D475" s="35" t="s">
        <v>1490</v>
      </c>
      <c r="E475" s="35" t="n">
        <v>63</v>
      </c>
      <c r="F475" s="35" t="s">
        <v>234</v>
      </c>
      <c r="G475" s="35" t="s">
        <v>222</v>
      </c>
      <c r="H475" s="35" t="s">
        <v>208</v>
      </c>
      <c r="I475" s="35" t="s">
        <v>200</v>
      </c>
      <c r="J475" s="35" t="n">
        <v>5</v>
      </c>
      <c r="K475" s="65" t="n">
        <v>13257.79</v>
      </c>
      <c r="L475" s="65" t="n">
        <v>66288.95</v>
      </c>
      <c r="M475" s="66" t="n">
        <f aca="false">DATE(YEAR(B475),MONTH(B475),1)</f>
        <v>45839</v>
      </c>
      <c r="N475" s="35" t="str">
        <f aca="false">IF(G475="","Unknown",G475)</f>
        <v>Pune</v>
      </c>
      <c r="O475" s="35" t="str">
        <f aca="false">IF(E475="","Unknown",IF(E475&lt;=25,"18-25",IF(E475&lt;=35,"26-35",IF(E475&lt;=45,"36-45",IF(E475&lt;=55,"46-55","56-65")))))</f>
        <v>56-65</v>
      </c>
      <c r="P475" s="35" t="n">
        <f aca="false">COUNTIF($C$2:$C$1001,C475)</f>
        <v>1</v>
      </c>
      <c r="Q475" s="35" t="n">
        <f aca="false">IF(COUNTIF($C$2:C475,C475)=1,1,0)</f>
        <v>1</v>
      </c>
    </row>
    <row r="476" customFormat="false" ht="15" hidden="false" customHeight="false" outlineLevel="0" collapsed="false">
      <c r="A476" s="35" t="s">
        <v>1491</v>
      </c>
      <c r="B476" s="64" t="n">
        <v>45891</v>
      </c>
      <c r="C476" s="35" t="s">
        <v>1492</v>
      </c>
      <c r="D476" s="35" t="s">
        <v>278</v>
      </c>
      <c r="E476" s="35" t="n">
        <v>48</v>
      </c>
      <c r="F476" s="35" t="s">
        <v>234</v>
      </c>
      <c r="G476" s="35" t="s">
        <v>223</v>
      </c>
      <c r="H476" s="35" t="s">
        <v>213</v>
      </c>
      <c r="I476" s="35" t="s">
        <v>204</v>
      </c>
      <c r="J476" s="35" t="n">
        <v>10</v>
      </c>
      <c r="K476" s="65" t="n">
        <v>16360.67</v>
      </c>
      <c r="L476" s="65" t="n">
        <v>163606.7</v>
      </c>
      <c r="M476" s="66" t="n">
        <f aca="false">DATE(YEAR(B476),MONTH(B476),1)</f>
        <v>45870</v>
      </c>
      <c r="N476" s="35" t="str">
        <f aca="false">IF(G476="","Unknown",G476)</f>
        <v>Gaya</v>
      </c>
      <c r="O476" s="35" t="str">
        <f aca="false">IF(E476="","Unknown",IF(E476&lt;=25,"18-25",IF(E476&lt;=35,"26-35",IF(E476&lt;=45,"36-45",IF(E476&lt;=55,"46-55","56-65")))))</f>
        <v>46-55</v>
      </c>
      <c r="P476" s="35" t="n">
        <f aca="false">COUNTIF($C$2:$C$1001,C476)</f>
        <v>1</v>
      </c>
      <c r="Q476" s="35" t="n">
        <f aca="false">IF(COUNTIF($C$2:C476,C476)=1,1,0)</f>
        <v>1</v>
      </c>
    </row>
    <row r="477" customFormat="false" ht="15" hidden="false" customHeight="false" outlineLevel="0" collapsed="false">
      <c r="A477" s="35" t="s">
        <v>1493</v>
      </c>
      <c r="B477" s="64" t="n">
        <v>45804</v>
      </c>
      <c r="C477" s="35" t="s">
        <v>1494</v>
      </c>
      <c r="D477" s="35" t="s">
        <v>1495</v>
      </c>
      <c r="E477" s="35" t="n">
        <v>22</v>
      </c>
      <c r="F477" s="35" t="s">
        <v>235</v>
      </c>
      <c r="G477" s="35" t="s">
        <v>216</v>
      </c>
      <c r="H477" s="35" t="s">
        <v>208</v>
      </c>
      <c r="I477" s="35" t="s">
        <v>200</v>
      </c>
      <c r="J477" s="35" t="n">
        <v>6</v>
      </c>
      <c r="K477" s="65" t="n">
        <v>40480.73</v>
      </c>
      <c r="L477" s="65" t="n">
        <v>242884.38</v>
      </c>
      <c r="M477" s="66" t="n">
        <f aca="false">DATE(YEAR(B477),MONTH(B477),1)</f>
        <v>45778</v>
      </c>
      <c r="N477" s="35" t="str">
        <f aca="false">IF(G477="","Unknown",G477)</f>
        <v>Patna</v>
      </c>
      <c r="O477" s="35" t="str">
        <f aca="false">IF(E477="","Unknown",IF(E477&lt;=25,"18-25",IF(E477&lt;=35,"26-35",IF(E477&lt;=45,"36-45",IF(E477&lt;=55,"46-55","56-65")))))</f>
        <v>18-25</v>
      </c>
      <c r="P477" s="35" t="n">
        <f aca="false">COUNTIF($C$2:$C$1001,C477)</f>
        <v>1</v>
      </c>
      <c r="Q477" s="35" t="n">
        <f aca="false">IF(COUNTIF($C$2:C477,C477)=1,1,0)</f>
        <v>1</v>
      </c>
    </row>
    <row r="478" customFormat="false" ht="15" hidden="false" customHeight="false" outlineLevel="0" collapsed="false">
      <c r="A478" s="35" t="s">
        <v>1496</v>
      </c>
      <c r="B478" s="64" t="n">
        <v>45939</v>
      </c>
      <c r="C478" s="35" t="s">
        <v>1497</v>
      </c>
      <c r="D478" s="35" t="s">
        <v>1498</v>
      </c>
      <c r="E478" s="35" t="n">
        <v>46</v>
      </c>
      <c r="F478" s="35" t="s">
        <v>234</v>
      </c>
      <c r="G478" s="35" t="s">
        <v>219</v>
      </c>
      <c r="H478" s="35" t="s">
        <v>212</v>
      </c>
      <c r="I478" s="35" t="s">
        <v>203</v>
      </c>
      <c r="J478" s="35" t="n">
        <v>2</v>
      </c>
      <c r="K478" s="65" t="n">
        <v>747.57</v>
      </c>
      <c r="L478" s="65" t="n">
        <v>1495.14</v>
      </c>
      <c r="M478" s="66" t="n">
        <f aca="false">DATE(YEAR(B478),MONTH(B478),1)</f>
        <v>45931</v>
      </c>
      <c r="N478" s="35" t="str">
        <f aca="false">IF(G478="","Unknown",G478)</f>
        <v>Mumbai</v>
      </c>
      <c r="O478" s="35" t="str">
        <f aca="false">IF(E478="","Unknown",IF(E478&lt;=25,"18-25",IF(E478&lt;=35,"26-35",IF(E478&lt;=45,"36-45",IF(E478&lt;=55,"46-55","56-65")))))</f>
        <v>46-55</v>
      </c>
      <c r="P478" s="35" t="n">
        <f aca="false">COUNTIF($C$2:$C$1001,C478)</f>
        <v>1</v>
      </c>
      <c r="Q478" s="35" t="n">
        <f aca="false">IF(COUNTIF($C$2:C478,C478)=1,1,0)</f>
        <v>1</v>
      </c>
    </row>
    <row r="479" customFormat="false" ht="15" hidden="false" customHeight="false" outlineLevel="0" collapsed="false">
      <c r="A479" s="35" t="s">
        <v>1499</v>
      </c>
      <c r="B479" s="64" t="n">
        <v>45891</v>
      </c>
      <c r="C479" s="35" t="s">
        <v>1500</v>
      </c>
      <c r="D479" s="35" t="s">
        <v>1129</v>
      </c>
      <c r="E479" s="35" t="n">
        <v>30</v>
      </c>
      <c r="F479" s="35" t="s">
        <v>234</v>
      </c>
      <c r="G479" s="35" t="s">
        <v>220</v>
      </c>
      <c r="H479" s="35" t="s">
        <v>208</v>
      </c>
      <c r="I479" s="35" t="s">
        <v>200</v>
      </c>
      <c r="J479" s="35" t="n">
        <v>2</v>
      </c>
      <c r="K479" s="65" t="n">
        <v>35420.46</v>
      </c>
      <c r="L479" s="65" t="n">
        <v>70840.92</v>
      </c>
      <c r="M479" s="66" t="n">
        <f aca="false">DATE(YEAR(B479),MONTH(B479),1)</f>
        <v>45870</v>
      </c>
      <c r="N479" s="35" t="str">
        <f aca="false">IF(G479="","Unknown",G479)</f>
        <v>Hyderabad</v>
      </c>
      <c r="O479" s="35" t="str">
        <f aca="false">IF(E479="","Unknown",IF(E479&lt;=25,"18-25",IF(E479&lt;=35,"26-35",IF(E479&lt;=45,"36-45",IF(E479&lt;=55,"46-55","56-65")))))</f>
        <v>26-35</v>
      </c>
      <c r="P479" s="35" t="n">
        <f aca="false">COUNTIF($C$2:$C$1001,C479)</f>
        <v>1</v>
      </c>
      <c r="Q479" s="35" t="n">
        <f aca="false">IF(COUNTIF($C$2:C479,C479)=1,1,0)</f>
        <v>1</v>
      </c>
    </row>
    <row r="480" customFormat="false" ht="15" hidden="false" customHeight="false" outlineLevel="0" collapsed="false">
      <c r="A480" s="35" t="s">
        <v>392</v>
      </c>
      <c r="B480" s="64" t="n">
        <v>45983</v>
      </c>
      <c r="C480" s="35" t="s">
        <v>1501</v>
      </c>
      <c r="D480" s="35" t="s">
        <v>725</v>
      </c>
      <c r="E480" s="35" t="n">
        <v>64</v>
      </c>
      <c r="F480" s="35" t="s">
        <v>234</v>
      </c>
      <c r="G480" s="35" t="s">
        <v>218</v>
      </c>
      <c r="H480" s="35" t="s">
        <v>211</v>
      </c>
      <c r="I480" s="35" t="s">
        <v>202</v>
      </c>
      <c r="J480" s="35" t="n">
        <v>8</v>
      </c>
      <c r="K480" s="65" t="n">
        <v>38957.59</v>
      </c>
      <c r="L480" s="65" t="n">
        <v>311660.72</v>
      </c>
      <c r="M480" s="66" t="n">
        <f aca="false">DATE(YEAR(B480),MONTH(B480),1)</f>
        <v>45962</v>
      </c>
      <c r="N480" s="35" t="str">
        <f aca="false">IF(G480="","Unknown",G480)</f>
        <v>Bengaluru</v>
      </c>
      <c r="O480" s="35" t="str">
        <f aca="false">IF(E480="","Unknown",IF(E480&lt;=25,"18-25",IF(E480&lt;=35,"26-35",IF(E480&lt;=45,"36-45",IF(E480&lt;=55,"46-55","56-65")))))</f>
        <v>56-65</v>
      </c>
      <c r="P480" s="35" t="n">
        <f aca="false">COUNTIF($C$2:$C$1001,C480)</f>
        <v>1</v>
      </c>
      <c r="Q480" s="35" t="n">
        <f aca="false">IF(COUNTIF($C$2:C480,C480)=1,1,0)</f>
        <v>1</v>
      </c>
    </row>
    <row r="481" customFormat="false" ht="15" hidden="false" customHeight="false" outlineLevel="0" collapsed="false">
      <c r="A481" s="35" t="s">
        <v>1502</v>
      </c>
      <c r="B481" s="64" t="n">
        <v>45895</v>
      </c>
      <c r="C481" s="35" t="s">
        <v>1503</v>
      </c>
      <c r="D481" s="35" t="s">
        <v>1003</v>
      </c>
      <c r="E481" s="35" t="n">
        <v>47</v>
      </c>
      <c r="F481" s="35" t="s">
        <v>235</v>
      </c>
      <c r="G481" s="35" t="s">
        <v>218</v>
      </c>
      <c r="H481" s="35" t="s">
        <v>212</v>
      </c>
      <c r="I481" s="35" t="s">
        <v>203</v>
      </c>
      <c r="J481" s="35" t="n">
        <v>3</v>
      </c>
      <c r="K481" s="65" t="n">
        <v>2762.18</v>
      </c>
      <c r="L481" s="65" t="n">
        <v>8286.54</v>
      </c>
      <c r="M481" s="66" t="n">
        <f aca="false">DATE(YEAR(B481),MONTH(B481),1)</f>
        <v>45870</v>
      </c>
      <c r="N481" s="35" t="str">
        <f aca="false">IF(G481="","Unknown",G481)</f>
        <v>Bengaluru</v>
      </c>
      <c r="O481" s="35" t="str">
        <f aca="false">IF(E481="","Unknown",IF(E481&lt;=25,"18-25",IF(E481&lt;=35,"26-35",IF(E481&lt;=45,"36-45",IF(E481&lt;=55,"46-55","56-65")))))</f>
        <v>46-55</v>
      </c>
      <c r="P481" s="35" t="n">
        <f aca="false">COUNTIF($C$2:$C$1001,C481)</f>
        <v>1</v>
      </c>
      <c r="Q481" s="35" t="n">
        <f aca="false">IF(COUNTIF($C$2:C481,C481)=1,1,0)</f>
        <v>1</v>
      </c>
    </row>
    <row r="482" customFormat="false" ht="15" hidden="false" customHeight="false" outlineLevel="0" collapsed="false">
      <c r="A482" s="35" t="s">
        <v>1504</v>
      </c>
      <c r="B482" s="64" t="n">
        <v>45664</v>
      </c>
      <c r="C482" s="35" t="s">
        <v>1505</v>
      </c>
      <c r="D482" s="35" t="s">
        <v>1506</v>
      </c>
      <c r="E482" s="35" t="n">
        <v>56</v>
      </c>
      <c r="F482" s="35" t="s">
        <v>234</v>
      </c>
      <c r="G482" s="35" t="s">
        <v>217</v>
      </c>
      <c r="H482" s="35" t="s">
        <v>208</v>
      </c>
      <c r="I482" s="35" t="s">
        <v>200</v>
      </c>
      <c r="J482" s="35" t="n">
        <v>2</v>
      </c>
      <c r="K482" s="65" t="n">
        <v>33800.83</v>
      </c>
      <c r="L482" s="65" t="n">
        <v>67601.66</v>
      </c>
      <c r="M482" s="66" t="n">
        <f aca="false">DATE(YEAR(B482),MONTH(B482),1)</f>
        <v>45658</v>
      </c>
      <c r="N482" s="35" t="str">
        <f aca="false">IF(G482="","Unknown",G482)</f>
        <v>Kolkata</v>
      </c>
      <c r="O482" s="35" t="str">
        <f aca="false">IF(E482="","Unknown",IF(E482&lt;=25,"18-25",IF(E482&lt;=35,"26-35",IF(E482&lt;=45,"36-45",IF(E482&lt;=55,"46-55","56-65")))))</f>
        <v>56-65</v>
      </c>
      <c r="P482" s="35" t="n">
        <f aca="false">COUNTIF($C$2:$C$1001,C482)</f>
        <v>1</v>
      </c>
      <c r="Q482" s="35" t="n">
        <f aca="false">IF(COUNTIF($C$2:C482,C482)=1,1,0)</f>
        <v>1</v>
      </c>
    </row>
    <row r="483" customFormat="false" ht="15" hidden="false" customHeight="false" outlineLevel="0" collapsed="false">
      <c r="A483" s="35" t="s">
        <v>1507</v>
      </c>
      <c r="B483" s="64" t="n">
        <v>45704</v>
      </c>
      <c r="C483" s="35" t="s">
        <v>1508</v>
      </c>
      <c r="D483" s="35" t="s">
        <v>1509</v>
      </c>
      <c r="E483" s="35" t="n">
        <v>52</v>
      </c>
      <c r="F483" s="35" t="s">
        <v>234</v>
      </c>
      <c r="G483" s="35" t="s">
        <v>217</v>
      </c>
      <c r="H483" s="35" t="s">
        <v>208</v>
      </c>
      <c r="I483" s="35" t="s">
        <v>200</v>
      </c>
      <c r="J483" s="35" t="n">
        <v>4</v>
      </c>
      <c r="K483" s="65" t="n">
        <v>4113.4</v>
      </c>
      <c r="L483" s="65" t="n">
        <v>16453.6</v>
      </c>
      <c r="M483" s="66" t="n">
        <f aca="false">DATE(YEAR(B483),MONTH(B483),1)</f>
        <v>45689</v>
      </c>
      <c r="N483" s="35" t="str">
        <f aca="false">IF(G483="","Unknown",G483)</f>
        <v>Kolkata</v>
      </c>
      <c r="O483" s="35" t="str">
        <f aca="false">IF(E483="","Unknown",IF(E483&lt;=25,"18-25",IF(E483&lt;=35,"26-35",IF(E483&lt;=45,"36-45",IF(E483&lt;=55,"46-55","56-65")))))</f>
        <v>46-55</v>
      </c>
      <c r="P483" s="35" t="n">
        <f aca="false">COUNTIF($C$2:$C$1001,C483)</f>
        <v>1</v>
      </c>
      <c r="Q483" s="35" t="n">
        <f aca="false">IF(COUNTIF($C$2:C483,C483)=1,1,0)</f>
        <v>1</v>
      </c>
    </row>
    <row r="484" customFormat="false" ht="15" hidden="false" customHeight="false" outlineLevel="0" collapsed="false">
      <c r="A484" s="35" t="s">
        <v>1510</v>
      </c>
      <c r="B484" s="64" t="n">
        <v>45832</v>
      </c>
      <c r="C484" s="35" t="s">
        <v>1511</v>
      </c>
      <c r="D484" s="35" t="s">
        <v>1512</v>
      </c>
      <c r="E484" s="35" t="n">
        <v>28</v>
      </c>
      <c r="F484" s="35" t="s">
        <v>234</v>
      </c>
      <c r="G484" s="35" t="s">
        <v>220</v>
      </c>
      <c r="H484" s="35" t="s">
        <v>212</v>
      </c>
      <c r="I484" s="35" t="s">
        <v>203</v>
      </c>
      <c r="J484" s="35" t="n">
        <v>10</v>
      </c>
      <c r="K484" s="65" t="n">
        <v>24297.48</v>
      </c>
      <c r="L484" s="65" t="n">
        <v>242974.8</v>
      </c>
      <c r="M484" s="66" t="n">
        <f aca="false">DATE(YEAR(B484),MONTH(B484),1)</f>
        <v>45809</v>
      </c>
      <c r="N484" s="35" t="str">
        <f aca="false">IF(G484="","Unknown",G484)</f>
        <v>Hyderabad</v>
      </c>
      <c r="O484" s="35" t="str">
        <f aca="false">IF(E484="","Unknown",IF(E484&lt;=25,"18-25",IF(E484&lt;=35,"26-35",IF(E484&lt;=45,"36-45",IF(E484&lt;=55,"46-55","56-65")))))</f>
        <v>26-35</v>
      </c>
      <c r="P484" s="35" t="n">
        <f aca="false">COUNTIF($C$2:$C$1001,C484)</f>
        <v>1</v>
      </c>
      <c r="Q484" s="35" t="n">
        <f aca="false">IF(COUNTIF($C$2:C484,C484)=1,1,0)</f>
        <v>1</v>
      </c>
    </row>
    <row r="485" customFormat="false" ht="15" hidden="false" customHeight="false" outlineLevel="0" collapsed="false">
      <c r="A485" s="35" t="s">
        <v>1513</v>
      </c>
      <c r="B485" s="64" t="n">
        <v>46016</v>
      </c>
      <c r="C485" s="35" t="s">
        <v>1514</v>
      </c>
      <c r="D485" s="35" t="s">
        <v>308</v>
      </c>
      <c r="E485" s="35" t="n">
        <v>39</v>
      </c>
      <c r="F485" s="35" t="s">
        <v>234</v>
      </c>
      <c r="G485" s="35" t="s">
        <v>223</v>
      </c>
      <c r="H485" s="35" t="s">
        <v>210</v>
      </c>
      <c r="I485" s="35" t="s">
        <v>201</v>
      </c>
      <c r="J485" s="35" t="n">
        <v>9</v>
      </c>
      <c r="K485" s="65" t="n">
        <v>5037.6</v>
      </c>
      <c r="L485" s="65" t="n">
        <v>45338.4</v>
      </c>
      <c r="M485" s="66" t="n">
        <f aca="false">DATE(YEAR(B485),MONTH(B485),1)</f>
        <v>45992</v>
      </c>
      <c r="N485" s="35" t="str">
        <f aca="false">IF(G485="","Unknown",G485)</f>
        <v>Gaya</v>
      </c>
      <c r="O485" s="35" t="str">
        <f aca="false">IF(E485="","Unknown",IF(E485&lt;=25,"18-25",IF(E485&lt;=35,"26-35",IF(E485&lt;=45,"36-45",IF(E485&lt;=55,"46-55","56-65")))))</f>
        <v>36-45</v>
      </c>
      <c r="P485" s="35" t="n">
        <f aca="false">COUNTIF($C$2:$C$1001,C485)</f>
        <v>1</v>
      </c>
      <c r="Q485" s="35" t="n">
        <f aca="false">IF(COUNTIF($C$2:C485,C485)=1,1,0)</f>
        <v>1</v>
      </c>
    </row>
    <row r="486" customFormat="false" ht="15" hidden="false" customHeight="false" outlineLevel="0" collapsed="false">
      <c r="A486" s="35" t="s">
        <v>1515</v>
      </c>
      <c r="B486" s="64" t="n">
        <v>45976</v>
      </c>
      <c r="C486" s="35" t="s">
        <v>1516</v>
      </c>
      <c r="D486" s="35" t="s">
        <v>836</v>
      </c>
      <c r="E486" s="35" t="n">
        <v>26</v>
      </c>
      <c r="F486" s="35" t="s">
        <v>235</v>
      </c>
      <c r="G486" s="35" t="s">
        <v>216</v>
      </c>
      <c r="H486" s="35" t="s">
        <v>209</v>
      </c>
      <c r="I486" s="35" t="s">
        <v>200</v>
      </c>
      <c r="J486" s="35" t="n">
        <v>8</v>
      </c>
      <c r="K486" s="65" t="n">
        <v>34803.41</v>
      </c>
      <c r="L486" s="65" t="n">
        <v>278427.28</v>
      </c>
      <c r="M486" s="66" t="n">
        <f aca="false">DATE(YEAR(B486),MONTH(B486),1)</f>
        <v>45962</v>
      </c>
      <c r="N486" s="35" t="str">
        <f aca="false">IF(G486="","Unknown",G486)</f>
        <v>Patna</v>
      </c>
      <c r="O486" s="35" t="str">
        <f aca="false">IF(E486="","Unknown",IF(E486&lt;=25,"18-25",IF(E486&lt;=35,"26-35",IF(E486&lt;=45,"36-45",IF(E486&lt;=55,"46-55","56-65")))))</f>
        <v>26-35</v>
      </c>
      <c r="P486" s="35" t="n">
        <f aca="false">COUNTIF($C$2:$C$1001,C486)</f>
        <v>1</v>
      </c>
      <c r="Q486" s="35" t="n">
        <f aca="false">IF(COUNTIF($C$2:C486,C486)=1,1,0)</f>
        <v>1</v>
      </c>
    </row>
    <row r="487" customFormat="false" ht="15" hidden="false" customHeight="false" outlineLevel="0" collapsed="false">
      <c r="A487" s="35" t="s">
        <v>1517</v>
      </c>
      <c r="B487" s="64" t="n">
        <v>45893</v>
      </c>
      <c r="C487" s="35" t="s">
        <v>1518</v>
      </c>
      <c r="D487" s="35" t="s">
        <v>1519</v>
      </c>
      <c r="E487" s="35" t="n">
        <v>27</v>
      </c>
      <c r="F487" s="35" t="s">
        <v>234</v>
      </c>
      <c r="G487" s="35" t="s">
        <v>216</v>
      </c>
      <c r="H487" s="35" t="s">
        <v>213</v>
      </c>
      <c r="I487" s="35" t="s">
        <v>204</v>
      </c>
      <c r="J487" s="35" t="n">
        <v>9</v>
      </c>
      <c r="K487" s="65" t="n">
        <v>9123.43</v>
      </c>
      <c r="L487" s="65" t="n">
        <v>82110.87</v>
      </c>
      <c r="M487" s="66" t="n">
        <f aca="false">DATE(YEAR(B487),MONTH(B487),1)</f>
        <v>45870</v>
      </c>
      <c r="N487" s="35" t="str">
        <f aca="false">IF(G487="","Unknown",G487)</f>
        <v>Patna</v>
      </c>
      <c r="O487" s="35" t="str">
        <f aca="false">IF(E487="","Unknown",IF(E487&lt;=25,"18-25",IF(E487&lt;=35,"26-35",IF(E487&lt;=45,"36-45",IF(E487&lt;=55,"46-55","56-65")))))</f>
        <v>26-35</v>
      </c>
      <c r="P487" s="35" t="n">
        <f aca="false">COUNTIF($C$2:$C$1001,C487)</f>
        <v>1</v>
      </c>
      <c r="Q487" s="35" t="n">
        <f aca="false">IF(COUNTIF($C$2:C487,C487)=1,1,0)</f>
        <v>1</v>
      </c>
    </row>
    <row r="488" customFormat="false" ht="15" hidden="false" customHeight="false" outlineLevel="0" collapsed="false">
      <c r="A488" s="35" t="s">
        <v>1520</v>
      </c>
      <c r="B488" s="64" t="n">
        <v>45710</v>
      </c>
      <c r="C488" s="35" t="s">
        <v>1521</v>
      </c>
      <c r="D488" s="35" t="s">
        <v>730</v>
      </c>
      <c r="E488" s="35" t="n">
        <v>53</v>
      </c>
      <c r="F488" s="35" t="s">
        <v>235</v>
      </c>
      <c r="G488" s="35" t="s">
        <v>223</v>
      </c>
      <c r="H488" s="35" t="s">
        <v>212</v>
      </c>
      <c r="I488" s="35" t="s">
        <v>203</v>
      </c>
      <c r="J488" s="35" t="n">
        <v>6</v>
      </c>
      <c r="K488" s="65" t="n">
        <v>6567.81</v>
      </c>
      <c r="L488" s="65" t="n">
        <v>39406.86</v>
      </c>
      <c r="M488" s="66" t="n">
        <f aca="false">DATE(YEAR(B488),MONTH(B488),1)</f>
        <v>45689</v>
      </c>
      <c r="N488" s="35" t="str">
        <f aca="false">IF(G488="","Unknown",G488)</f>
        <v>Gaya</v>
      </c>
      <c r="O488" s="35" t="str">
        <f aca="false">IF(E488="","Unknown",IF(E488&lt;=25,"18-25",IF(E488&lt;=35,"26-35",IF(E488&lt;=45,"36-45",IF(E488&lt;=55,"46-55","56-65")))))</f>
        <v>46-55</v>
      </c>
      <c r="P488" s="35" t="n">
        <f aca="false">COUNTIF($C$2:$C$1001,C488)</f>
        <v>1</v>
      </c>
      <c r="Q488" s="35" t="n">
        <f aca="false">IF(COUNTIF($C$2:C488,C488)=1,1,0)</f>
        <v>1</v>
      </c>
    </row>
    <row r="489" customFormat="false" ht="15" hidden="false" customHeight="false" outlineLevel="0" collapsed="false">
      <c r="A489" s="35" t="s">
        <v>1522</v>
      </c>
      <c r="B489" s="64" t="n">
        <v>45893</v>
      </c>
      <c r="C489" s="35" t="s">
        <v>1523</v>
      </c>
      <c r="D489" s="35" t="s">
        <v>1524</v>
      </c>
      <c r="E489" s="35" t="n">
        <v>41</v>
      </c>
      <c r="F489" s="35" t="s">
        <v>235</v>
      </c>
      <c r="G489" s="35" t="s">
        <v>217</v>
      </c>
      <c r="H489" s="35" t="s">
        <v>209</v>
      </c>
      <c r="I489" s="35" t="s">
        <v>200</v>
      </c>
      <c r="J489" s="35" t="n">
        <v>9</v>
      </c>
      <c r="K489" s="65" t="n">
        <v>27766.56</v>
      </c>
      <c r="L489" s="65" t="n">
        <v>249899.04</v>
      </c>
      <c r="M489" s="66" t="n">
        <f aca="false">DATE(YEAR(B489),MONTH(B489),1)</f>
        <v>45870</v>
      </c>
      <c r="N489" s="35" t="str">
        <f aca="false">IF(G489="","Unknown",G489)</f>
        <v>Kolkata</v>
      </c>
      <c r="O489" s="35" t="str">
        <f aca="false">IF(E489="","Unknown",IF(E489&lt;=25,"18-25",IF(E489&lt;=35,"26-35",IF(E489&lt;=45,"36-45",IF(E489&lt;=55,"46-55","56-65")))))</f>
        <v>36-45</v>
      </c>
      <c r="P489" s="35" t="n">
        <f aca="false">COUNTIF($C$2:$C$1001,C489)</f>
        <v>1</v>
      </c>
      <c r="Q489" s="35" t="n">
        <f aca="false">IF(COUNTIF($C$2:C489,C489)=1,1,0)</f>
        <v>1</v>
      </c>
    </row>
    <row r="490" customFormat="false" ht="15" hidden="false" customHeight="false" outlineLevel="0" collapsed="false">
      <c r="A490" s="35" t="s">
        <v>1525</v>
      </c>
      <c r="B490" s="64" t="n">
        <v>45763</v>
      </c>
      <c r="C490" s="35" t="s">
        <v>1526</v>
      </c>
      <c r="D490" s="35" t="s">
        <v>1040</v>
      </c>
      <c r="E490" s="35" t="n">
        <v>41</v>
      </c>
      <c r="F490" s="35" t="s">
        <v>235</v>
      </c>
      <c r="G490" s="35" t="s">
        <v>220</v>
      </c>
      <c r="H490" s="35" t="s">
        <v>211</v>
      </c>
      <c r="I490" s="35" t="s">
        <v>202</v>
      </c>
      <c r="J490" s="35" t="n">
        <v>5</v>
      </c>
      <c r="K490" s="65" t="n">
        <v>33535.53</v>
      </c>
      <c r="L490" s="65" t="n">
        <v>167677.65</v>
      </c>
      <c r="M490" s="66" t="n">
        <f aca="false">DATE(YEAR(B490),MONTH(B490),1)</f>
        <v>45748</v>
      </c>
      <c r="N490" s="35" t="str">
        <f aca="false">IF(G490="","Unknown",G490)</f>
        <v>Hyderabad</v>
      </c>
      <c r="O490" s="35" t="str">
        <f aca="false">IF(E490="","Unknown",IF(E490&lt;=25,"18-25",IF(E490&lt;=35,"26-35",IF(E490&lt;=45,"36-45",IF(E490&lt;=55,"46-55","56-65")))))</f>
        <v>36-45</v>
      </c>
      <c r="P490" s="35" t="n">
        <f aca="false">COUNTIF($C$2:$C$1001,C490)</f>
        <v>1</v>
      </c>
      <c r="Q490" s="35" t="n">
        <f aca="false">IF(COUNTIF($C$2:C490,C490)=1,1,0)</f>
        <v>1</v>
      </c>
    </row>
    <row r="491" customFormat="false" ht="15" hidden="false" customHeight="false" outlineLevel="0" collapsed="false">
      <c r="A491" s="35" t="s">
        <v>1527</v>
      </c>
      <c r="B491" s="64" t="n">
        <v>45765</v>
      </c>
      <c r="C491" s="35" t="s">
        <v>1528</v>
      </c>
      <c r="D491" s="35" t="s">
        <v>763</v>
      </c>
      <c r="E491" s="35" t="n">
        <v>29</v>
      </c>
      <c r="F491" s="35" t="s">
        <v>234</v>
      </c>
      <c r="G491" s="35" t="s">
        <v>220</v>
      </c>
      <c r="H491" s="35" t="s">
        <v>213</v>
      </c>
      <c r="I491" s="35" t="s">
        <v>204</v>
      </c>
      <c r="J491" s="35" t="n">
        <v>9</v>
      </c>
      <c r="K491" s="65" t="n">
        <v>48011.48</v>
      </c>
      <c r="L491" s="65" t="n">
        <v>432103.32</v>
      </c>
      <c r="M491" s="66" t="n">
        <f aca="false">DATE(YEAR(B491),MONTH(B491),1)</f>
        <v>45748</v>
      </c>
      <c r="N491" s="35" t="str">
        <f aca="false">IF(G491="","Unknown",G491)</f>
        <v>Hyderabad</v>
      </c>
      <c r="O491" s="35" t="str">
        <f aca="false">IF(E491="","Unknown",IF(E491&lt;=25,"18-25",IF(E491&lt;=35,"26-35",IF(E491&lt;=45,"36-45",IF(E491&lt;=55,"46-55","56-65")))))</f>
        <v>26-35</v>
      </c>
      <c r="P491" s="35" t="n">
        <f aca="false">COUNTIF($C$2:$C$1001,C491)</f>
        <v>1</v>
      </c>
      <c r="Q491" s="35" t="n">
        <f aca="false">IF(COUNTIF($C$2:C491,C491)=1,1,0)</f>
        <v>1</v>
      </c>
    </row>
    <row r="492" customFormat="false" ht="15" hidden="false" customHeight="false" outlineLevel="0" collapsed="false">
      <c r="A492" s="35" t="s">
        <v>1529</v>
      </c>
      <c r="B492" s="64" t="n">
        <v>45737</v>
      </c>
      <c r="C492" s="35" t="s">
        <v>1530</v>
      </c>
      <c r="D492" s="35" t="s">
        <v>800</v>
      </c>
      <c r="E492" s="35" t="n">
        <v>52</v>
      </c>
      <c r="F492" s="35" t="s">
        <v>234</v>
      </c>
      <c r="G492" s="35" t="s">
        <v>221</v>
      </c>
      <c r="H492" s="35" t="s">
        <v>210</v>
      </c>
      <c r="I492" s="35" t="s">
        <v>201</v>
      </c>
      <c r="J492" s="35" t="n">
        <v>9</v>
      </c>
      <c r="K492" s="65" t="n">
        <v>21084.4</v>
      </c>
      <c r="L492" s="65" t="n">
        <v>189759.6</v>
      </c>
      <c r="M492" s="66" t="n">
        <f aca="false">DATE(YEAR(B492),MONTH(B492),1)</f>
        <v>45717</v>
      </c>
      <c r="N492" s="35" t="str">
        <f aca="false">IF(G492="","Unknown",G492)</f>
        <v>Delhi</v>
      </c>
      <c r="O492" s="35" t="str">
        <f aca="false">IF(E492="","Unknown",IF(E492&lt;=25,"18-25",IF(E492&lt;=35,"26-35",IF(E492&lt;=45,"36-45",IF(E492&lt;=55,"46-55","56-65")))))</f>
        <v>46-55</v>
      </c>
      <c r="P492" s="35" t="n">
        <f aca="false">COUNTIF($C$2:$C$1001,C492)</f>
        <v>1</v>
      </c>
      <c r="Q492" s="35" t="n">
        <f aca="false">IF(COUNTIF($C$2:C492,C492)=1,1,0)</f>
        <v>1</v>
      </c>
    </row>
    <row r="493" customFormat="false" ht="15" hidden="false" customHeight="false" outlineLevel="0" collapsed="false">
      <c r="A493" s="35" t="s">
        <v>1531</v>
      </c>
      <c r="B493" s="64" t="n">
        <v>46019</v>
      </c>
      <c r="C493" s="35" t="s">
        <v>1532</v>
      </c>
      <c r="D493" s="35" t="s">
        <v>308</v>
      </c>
      <c r="E493" s="35" t="n">
        <v>63</v>
      </c>
      <c r="F493" s="35" t="s">
        <v>234</v>
      </c>
      <c r="G493" s="35" t="s">
        <v>223</v>
      </c>
      <c r="H493" s="35" t="s">
        <v>210</v>
      </c>
      <c r="I493" s="35" t="s">
        <v>201</v>
      </c>
      <c r="J493" s="35" t="n">
        <v>3</v>
      </c>
      <c r="K493" s="65" t="n">
        <v>37002.06</v>
      </c>
      <c r="L493" s="65" t="n">
        <v>111006.18</v>
      </c>
      <c r="M493" s="66" t="n">
        <f aca="false">DATE(YEAR(B493),MONTH(B493),1)</f>
        <v>45992</v>
      </c>
      <c r="N493" s="35" t="str">
        <f aca="false">IF(G493="","Unknown",G493)</f>
        <v>Gaya</v>
      </c>
      <c r="O493" s="35" t="str">
        <f aca="false">IF(E493="","Unknown",IF(E493&lt;=25,"18-25",IF(E493&lt;=35,"26-35",IF(E493&lt;=45,"36-45",IF(E493&lt;=55,"46-55","56-65")))))</f>
        <v>56-65</v>
      </c>
      <c r="P493" s="35" t="n">
        <f aca="false">COUNTIF($C$2:$C$1001,C493)</f>
        <v>1</v>
      </c>
      <c r="Q493" s="35" t="n">
        <f aca="false">IF(COUNTIF($C$2:C493,C493)=1,1,0)</f>
        <v>1</v>
      </c>
    </row>
    <row r="494" customFormat="false" ht="15" hidden="false" customHeight="false" outlineLevel="0" collapsed="false">
      <c r="A494" s="35" t="s">
        <v>1533</v>
      </c>
      <c r="B494" s="64" t="n">
        <v>45806</v>
      </c>
      <c r="C494" s="35" t="s">
        <v>1534</v>
      </c>
      <c r="D494" s="35" t="s">
        <v>400</v>
      </c>
      <c r="E494" s="35" t="n">
        <v>47</v>
      </c>
      <c r="F494" s="35" t="s">
        <v>234</v>
      </c>
      <c r="G494" s="35" t="s">
        <v>221</v>
      </c>
      <c r="H494" s="35" t="s">
        <v>208</v>
      </c>
      <c r="I494" s="35" t="s">
        <v>200</v>
      </c>
      <c r="J494" s="35" t="n">
        <v>3</v>
      </c>
      <c r="K494" s="65" t="n">
        <v>33382.46</v>
      </c>
      <c r="L494" s="65" t="n">
        <v>100147.38</v>
      </c>
      <c r="M494" s="66" t="n">
        <f aca="false">DATE(YEAR(B494),MONTH(B494),1)</f>
        <v>45778</v>
      </c>
      <c r="N494" s="35" t="str">
        <f aca="false">IF(G494="","Unknown",G494)</f>
        <v>Delhi</v>
      </c>
      <c r="O494" s="35" t="str">
        <f aca="false">IF(E494="","Unknown",IF(E494&lt;=25,"18-25",IF(E494&lt;=35,"26-35",IF(E494&lt;=45,"36-45",IF(E494&lt;=55,"46-55","56-65")))))</f>
        <v>46-55</v>
      </c>
      <c r="P494" s="35" t="n">
        <f aca="false">COUNTIF($C$2:$C$1001,C494)</f>
        <v>1</v>
      </c>
      <c r="Q494" s="35" t="n">
        <f aca="false">IF(COUNTIF($C$2:C494,C494)=1,1,0)</f>
        <v>1</v>
      </c>
    </row>
    <row r="495" customFormat="false" ht="15" hidden="false" customHeight="false" outlineLevel="0" collapsed="false">
      <c r="A495" s="35" t="s">
        <v>1535</v>
      </c>
      <c r="B495" s="64" t="n">
        <v>45866</v>
      </c>
      <c r="C495" s="35" t="s">
        <v>1536</v>
      </c>
      <c r="D495" s="35" t="s">
        <v>836</v>
      </c>
      <c r="E495" s="35" t="n">
        <v>26</v>
      </c>
      <c r="F495" s="35" t="s">
        <v>235</v>
      </c>
      <c r="G495" s="35" t="s">
        <v>223</v>
      </c>
      <c r="H495" s="35" t="s">
        <v>213</v>
      </c>
      <c r="I495" s="35" t="s">
        <v>204</v>
      </c>
      <c r="J495" s="35" t="n">
        <v>5</v>
      </c>
      <c r="K495" s="65" t="n">
        <v>16321.45</v>
      </c>
      <c r="L495" s="65" t="n">
        <v>81607.25</v>
      </c>
      <c r="M495" s="66" t="n">
        <f aca="false">DATE(YEAR(B495),MONTH(B495),1)</f>
        <v>45839</v>
      </c>
      <c r="N495" s="35" t="str">
        <f aca="false">IF(G495="","Unknown",G495)</f>
        <v>Gaya</v>
      </c>
      <c r="O495" s="35" t="str">
        <f aca="false">IF(E495="","Unknown",IF(E495&lt;=25,"18-25",IF(E495&lt;=35,"26-35",IF(E495&lt;=45,"36-45",IF(E495&lt;=55,"46-55","56-65")))))</f>
        <v>26-35</v>
      </c>
      <c r="P495" s="35" t="n">
        <f aca="false">COUNTIF($C$2:$C$1001,C495)</f>
        <v>1</v>
      </c>
      <c r="Q495" s="35" t="n">
        <f aca="false">IF(COUNTIF($C$2:C495,C495)=1,1,0)</f>
        <v>1</v>
      </c>
    </row>
    <row r="496" customFormat="false" ht="15" hidden="false" customHeight="false" outlineLevel="0" collapsed="false">
      <c r="A496" s="35" t="s">
        <v>1537</v>
      </c>
      <c r="B496" s="64" t="n">
        <v>45806</v>
      </c>
      <c r="C496" s="35" t="s">
        <v>1538</v>
      </c>
      <c r="D496" s="35" t="s">
        <v>669</v>
      </c>
      <c r="E496" s="35" t="n">
        <v>55</v>
      </c>
      <c r="F496" s="35" t="s">
        <v>234</v>
      </c>
      <c r="G496" s="35" t="s">
        <v>223</v>
      </c>
      <c r="H496" s="35" t="s">
        <v>212</v>
      </c>
      <c r="I496" s="35" t="s">
        <v>203</v>
      </c>
      <c r="J496" s="35" t="n">
        <v>1</v>
      </c>
      <c r="K496" s="65" t="n">
        <v>767.61</v>
      </c>
      <c r="L496" s="65" t="n">
        <v>767.61</v>
      </c>
      <c r="M496" s="66" t="n">
        <f aca="false">DATE(YEAR(B496),MONTH(B496),1)</f>
        <v>45778</v>
      </c>
      <c r="N496" s="35" t="str">
        <f aca="false">IF(G496="","Unknown",G496)</f>
        <v>Gaya</v>
      </c>
      <c r="O496" s="35" t="str">
        <f aca="false">IF(E496="","Unknown",IF(E496&lt;=25,"18-25",IF(E496&lt;=35,"26-35",IF(E496&lt;=45,"36-45",IF(E496&lt;=55,"46-55","56-65")))))</f>
        <v>46-55</v>
      </c>
      <c r="P496" s="35" t="n">
        <f aca="false">COUNTIF($C$2:$C$1001,C496)</f>
        <v>1</v>
      </c>
      <c r="Q496" s="35" t="n">
        <f aca="false">IF(COUNTIF($C$2:C496,C496)=1,1,0)</f>
        <v>1</v>
      </c>
    </row>
    <row r="497" customFormat="false" ht="15" hidden="false" customHeight="false" outlineLevel="0" collapsed="false">
      <c r="A497" s="35" t="s">
        <v>1539</v>
      </c>
      <c r="B497" s="64" t="n">
        <v>45754</v>
      </c>
      <c r="C497" s="35" t="s">
        <v>1540</v>
      </c>
      <c r="D497" s="35" t="s">
        <v>1541</v>
      </c>
      <c r="E497" s="35" t="n">
        <v>51</v>
      </c>
      <c r="F497" s="35" t="s">
        <v>234</v>
      </c>
      <c r="G497" s="35" t="s">
        <v>217</v>
      </c>
      <c r="H497" s="35" t="s">
        <v>211</v>
      </c>
      <c r="I497" s="35" t="s">
        <v>202</v>
      </c>
      <c r="J497" s="35" t="n">
        <v>8</v>
      </c>
      <c r="K497" s="65" t="n">
        <v>18862.36</v>
      </c>
      <c r="L497" s="65" t="n">
        <v>150898.88</v>
      </c>
      <c r="M497" s="66" t="n">
        <f aca="false">DATE(YEAR(B497),MONTH(B497),1)</f>
        <v>45748</v>
      </c>
      <c r="N497" s="35" t="str">
        <f aca="false">IF(G497="","Unknown",G497)</f>
        <v>Kolkata</v>
      </c>
      <c r="O497" s="35" t="str">
        <f aca="false">IF(E497="","Unknown",IF(E497&lt;=25,"18-25",IF(E497&lt;=35,"26-35",IF(E497&lt;=45,"36-45",IF(E497&lt;=55,"46-55","56-65")))))</f>
        <v>46-55</v>
      </c>
      <c r="P497" s="35" t="n">
        <f aca="false">COUNTIF($C$2:$C$1001,C497)</f>
        <v>1</v>
      </c>
      <c r="Q497" s="35" t="n">
        <f aca="false">IF(COUNTIF($C$2:C497,C497)=1,1,0)</f>
        <v>1</v>
      </c>
    </row>
    <row r="498" customFormat="false" ht="15" hidden="false" customHeight="false" outlineLevel="0" collapsed="false">
      <c r="A498" s="35" t="s">
        <v>1542</v>
      </c>
      <c r="B498" s="64" t="n">
        <v>46022</v>
      </c>
      <c r="C498" s="35" t="s">
        <v>1543</v>
      </c>
      <c r="D498" s="35" t="s">
        <v>1185</v>
      </c>
      <c r="E498" s="35" t="n">
        <v>45</v>
      </c>
      <c r="F498" s="35" t="s">
        <v>235</v>
      </c>
      <c r="G498" s="35" t="s">
        <v>216</v>
      </c>
      <c r="H498" s="35" t="s">
        <v>212</v>
      </c>
      <c r="I498" s="35" t="s">
        <v>203</v>
      </c>
      <c r="J498" s="35" t="n">
        <v>2</v>
      </c>
      <c r="K498" s="65" t="n">
        <v>47693.33</v>
      </c>
      <c r="L498" s="65" t="n">
        <v>95386.66</v>
      </c>
      <c r="M498" s="66" t="n">
        <f aca="false">DATE(YEAR(B498),MONTH(B498),1)</f>
        <v>45992</v>
      </c>
      <c r="N498" s="35" t="str">
        <f aca="false">IF(G498="","Unknown",G498)</f>
        <v>Patna</v>
      </c>
      <c r="O498" s="35" t="str">
        <f aca="false">IF(E498="","Unknown",IF(E498&lt;=25,"18-25",IF(E498&lt;=35,"26-35",IF(E498&lt;=45,"36-45",IF(E498&lt;=55,"46-55","56-65")))))</f>
        <v>36-45</v>
      </c>
      <c r="P498" s="35" t="n">
        <f aca="false">COUNTIF($C$2:$C$1001,C498)</f>
        <v>1</v>
      </c>
      <c r="Q498" s="35" t="n">
        <f aca="false">IF(COUNTIF($C$2:C498,C498)=1,1,0)</f>
        <v>1</v>
      </c>
    </row>
    <row r="499" customFormat="false" ht="15" hidden="false" customHeight="false" outlineLevel="0" collapsed="false">
      <c r="A499" s="35" t="s">
        <v>1544</v>
      </c>
      <c r="B499" s="64" t="n">
        <v>45893</v>
      </c>
      <c r="C499" s="35" t="s">
        <v>1545</v>
      </c>
      <c r="D499" s="35" t="s">
        <v>779</v>
      </c>
      <c r="E499" s="35" t="n">
        <v>44</v>
      </c>
      <c r="F499" s="35" t="s">
        <v>235</v>
      </c>
      <c r="G499" s="35" t="s">
        <v>221</v>
      </c>
      <c r="H499" s="35" t="s">
        <v>209</v>
      </c>
      <c r="I499" s="35" t="s">
        <v>200</v>
      </c>
      <c r="J499" s="35" t="n">
        <v>3</v>
      </c>
      <c r="K499" s="65" t="n">
        <v>33234.99</v>
      </c>
      <c r="L499" s="65" t="n">
        <v>99704.97</v>
      </c>
      <c r="M499" s="66" t="n">
        <f aca="false">DATE(YEAR(B499),MONTH(B499),1)</f>
        <v>45870</v>
      </c>
      <c r="N499" s="35" t="str">
        <f aca="false">IF(G499="","Unknown",G499)</f>
        <v>Delhi</v>
      </c>
      <c r="O499" s="35" t="str">
        <f aca="false">IF(E499="","Unknown",IF(E499&lt;=25,"18-25",IF(E499&lt;=35,"26-35",IF(E499&lt;=45,"36-45",IF(E499&lt;=55,"46-55","56-65")))))</f>
        <v>36-45</v>
      </c>
      <c r="P499" s="35" t="n">
        <f aca="false">COUNTIF($C$2:$C$1001,C499)</f>
        <v>1</v>
      </c>
      <c r="Q499" s="35" t="n">
        <f aca="false">IF(COUNTIF($C$2:C499,C499)=1,1,0)</f>
        <v>1</v>
      </c>
    </row>
    <row r="500" customFormat="false" ht="15" hidden="false" customHeight="false" outlineLevel="0" collapsed="false">
      <c r="A500" s="35" t="s">
        <v>1546</v>
      </c>
      <c r="B500" s="64" t="n">
        <v>45834</v>
      </c>
      <c r="C500" s="35" t="s">
        <v>1547</v>
      </c>
      <c r="D500" s="35" t="s">
        <v>725</v>
      </c>
      <c r="E500" s="35"/>
      <c r="F500" s="35" t="s">
        <v>234</v>
      </c>
      <c r="G500" s="35" t="s">
        <v>217</v>
      </c>
      <c r="H500" s="35" t="s">
        <v>212</v>
      </c>
      <c r="I500" s="35" t="s">
        <v>203</v>
      </c>
      <c r="J500" s="35" t="n">
        <v>9</v>
      </c>
      <c r="K500" s="65" t="n">
        <v>7268.14</v>
      </c>
      <c r="L500" s="65" t="n">
        <v>65413.26</v>
      </c>
      <c r="M500" s="66" t="n">
        <f aca="false">DATE(YEAR(B500),MONTH(B500),1)</f>
        <v>45809</v>
      </c>
      <c r="N500" s="35" t="str">
        <f aca="false">IF(G500="","Unknown",G500)</f>
        <v>Kolkata</v>
      </c>
      <c r="O500" s="35" t="str">
        <f aca="false">IF(E500="","Unknown",IF(E500&lt;=25,"18-25",IF(E500&lt;=35,"26-35",IF(E500&lt;=45,"36-45",IF(E500&lt;=55,"46-55","56-65")))))</f>
        <v>Unknown</v>
      </c>
      <c r="P500" s="35" t="n">
        <f aca="false">COUNTIF($C$2:$C$1001,C500)</f>
        <v>1</v>
      </c>
      <c r="Q500" s="35" t="n">
        <f aca="false">IF(COUNTIF($C$2:C500,C500)=1,1,0)</f>
        <v>1</v>
      </c>
    </row>
    <row r="501" customFormat="false" ht="15" hidden="false" customHeight="false" outlineLevel="0" collapsed="false">
      <c r="A501" s="35" t="s">
        <v>1548</v>
      </c>
      <c r="B501" s="64" t="n">
        <v>45826</v>
      </c>
      <c r="C501" s="35" t="s">
        <v>1549</v>
      </c>
      <c r="D501" s="35" t="s">
        <v>1301</v>
      </c>
      <c r="E501" s="35" t="n">
        <v>30</v>
      </c>
      <c r="F501" s="35" t="s">
        <v>235</v>
      </c>
      <c r="G501" s="35" t="s">
        <v>219</v>
      </c>
      <c r="H501" s="35" t="s">
        <v>209</v>
      </c>
      <c r="I501" s="35" t="s">
        <v>200</v>
      </c>
      <c r="J501" s="35" t="n">
        <v>10</v>
      </c>
      <c r="K501" s="65" t="n">
        <v>10702.89</v>
      </c>
      <c r="L501" s="65" t="n">
        <v>107028.9</v>
      </c>
      <c r="M501" s="66" t="n">
        <f aca="false">DATE(YEAR(B501),MONTH(B501),1)</f>
        <v>45809</v>
      </c>
      <c r="N501" s="35" t="str">
        <f aca="false">IF(G501="","Unknown",G501)</f>
        <v>Mumbai</v>
      </c>
      <c r="O501" s="35" t="str">
        <f aca="false">IF(E501="","Unknown",IF(E501&lt;=25,"18-25",IF(E501&lt;=35,"26-35",IF(E501&lt;=45,"36-45",IF(E501&lt;=55,"46-55","56-65")))))</f>
        <v>26-35</v>
      </c>
      <c r="P501" s="35" t="n">
        <f aca="false">COUNTIF($C$2:$C$1001,C501)</f>
        <v>1</v>
      </c>
      <c r="Q501" s="35" t="n">
        <f aca="false">IF(COUNTIF($C$2:C501,C501)=1,1,0)</f>
        <v>1</v>
      </c>
    </row>
    <row r="502" customFormat="false" ht="15" hidden="false" customHeight="false" outlineLevel="0" collapsed="false">
      <c r="A502" s="35" t="s">
        <v>1550</v>
      </c>
      <c r="B502" s="64" t="n">
        <v>45998</v>
      </c>
      <c r="C502" s="35" t="s">
        <v>1551</v>
      </c>
      <c r="D502" s="35" t="s">
        <v>994</v>
      </c>
      <c r="E502" s="35" t="n">
        <v>52</v>
      </c>
      <c r="F502" s="35" t="s">
        <v>235</v>
      </c>
      <c r="G502" s="35" t="s">
        <v>221</v>
      </c>
      <c r="H502" s="35" t="s">
        <v>210</v>
      </c>
      <c r="I502" s="35" t="s">
        <v>201</v>
      </c>
      <c r="J502" s="35" t="n">
        <v>2</v>
      </c>
      <c r="K502" s="65" t="n">
        <v>13323.8</v>
      </c>
      <c r="L502" s="65" t="n">
        <v>26647.6</v>
      </c>
      <c r="M502" s="66" t="n">
        <f aca="false">DATE(YEAR(B502),MONTH(B502),1)</f>
        <v>45992</v>
      </c>
      <c r="N502" s="35" t="str">
        <f aca="false">IF(G502="","Unknown",G502)</f>
        <v>Delhi</v>
      </c>
      <c r="O502" s="35" t="str">
        <f aca="false">IF(E502="","Unknown",IF(E502&lt;=25,"18-25",IF(E502&lt;=35,"26-35",IF(E502&lt;=45,"36-45",IF(E502&lt;=55,"46-55","56-65")))))</f>
        <v>46-55</v>
      </c>
      <c r="P502" s="35" t="n">
        <f aca="false">COUNTIF($C$2:$C$1001,C502)</f>
        <v>1</v>
      </c>
      <c r="Q502" s="35" t="n">
        <f aca="false">IF(COUNTIF($C$2:C502,C502)=1,1,0)</f>
        <v>1</v>
      </c>
    </row>
    <row r="503" customFormat="false" ht="15" hidden="false" customHeight="false" outlineLevel="0" collapsed="false">
      <c r="A503" s="35" t="s">
        <v>1552</v>
      </c>
      <c r="B503" s="64" t="n">
        <v>45777</v>
      </c>
      <c r="C503" s="35" t="s">
        <v>1553</v>
      </c>
      <c r="D503" s="35" t="s">
        <v>1054</v>
      </c>
      <c r="E503" s="35" t="n">
        <v>31</v>
      </c>
      <c r="F503" s="35" t="s">
        <v>235</v>
      </c>
      <c r="G503" s="35" t="s">
        <v>220</v>
      </c>
      <c r="H503" s="35" t="s">
        <v>208</v>
      </c>
      <c r="I503" s="35" t="s">
        <v>200</v>
      </c>
      <c r="J503" s="35" t="n">
        <v>4</v>
      </c>
      <c r="K503" s="65" t="n">
        <v>27565.01</v>
      </c>
      <c r="L503" s="65" t="n">
        <v>110260.04</v>
      </c>
      <c r="M503" s="66" t="n">
        <f aca="false">DATE(YEAR(B503),MONTH(B503),1)</f>
        <v>45748</v>
      </c>
      <c r="N503" s="35" t="str">
        <f aca="false">IF(G503="","Unknown",G503)</f>
        <v>Hyderabad</v>
      </c>
      <c r="O503" s="35" t="str">
        <f aca="false">IF(E503="","Unknown",IF(E503&lt;=25,"18-25",IF(E503&lt;=35,"26-35",IF(E503&lt;=45,"36-45",IF(E503&lt;=55,"46-55","56-65")))))</f>
        <v>26-35</v>
      </c>
      <c r="P503" s="35" t="n">
        <f aca="false">COUNTIF($C$2:$C$1001,C503)</f>
        <v>1</v>
      </c>
      <c r="Q503" s="35" t="n">
        <f aca="false">IF(COUNTIF($C$2:C503,C503)=1,1,0)</f>
        <v>1</v>
      </c>
    </row>
    <row r="504" customFormat="false" ht="15" hidden="false" customHeight="false" outlineLevel="0" collapsed="false">
      <c r="A504" s="35" t="s">
        <v>1554</v>
      </c>
      <c r="B504" s="64" t="n">
        <v>45853</v>
      </c>
      <c r="C504" s="35" t="s">
        <v>1555</v>
      </c>
      <c r="D504" s="35" t="s">
        <v>1105</v>
      </c>
      <c r="E504" s="35" t="n">
        <v>52</v>
      </c>
      <c r="F504" s="35" t="s">
        <v>234</v>
      </c>
      <c r="G504" s="35" t="s">
        <v>222</v>
      </c>
      <c r="H504" s="35" t="s">
        <v>209</v>
      </c>
      <c r="I504" s="35" t="s">
        <v>200</v>
      </c>
      <c r="J504" s="35" t="n">
        <v>1</v>
      </c>
      <c r="K504" s="65" t="n">
        <v>40225.63</v>
      </c>
      <c r="L504" s="65" t="n">
        <v>40225.63</v>
      </c>
      <c r="M504" s="66" t="n">
        <f aca="false">DATE(YEAR(B504),MONTH(B504),1)</f>
        <v>45839</v>
      </c>
      <c r="N504" s="35" t="str">
        <f aca="false">IF(G504="","Unknown",G504)</f>
        <v>Pune</v>
      </c>
      <c r="O504" s="35" t="str">
        <f aca="false">IF(E504="","Unknown",IF(E504&lt;=25,"18-25",IF(E504&lt;=35,"26-35",IF(E504&lt;=45,"36-45",IF(E504&lt;=55,"46-55","56-65")))))</f>
        <v>46-55</v>
      </c>
      <c r="P504" s="35" t="n">
        <f aca="false">COUNTIF($C$2:$C$1001,C504)</f>
        <v>1</v>
      </c>
      <c r="Q504" s="35" t="n">
        <f aca="false">IF(COUNTIF($C$2:C504,C504)=1,1,0)</f>
        <v>1</v>
      </c>
    </row>
    <row r="505" customFormat="false" ht="15" hidden="false" customHeight="false" outlineLevel="0" collapsed="false">
      <c r="A505" s="35" t="s">
        <v>1556</v>
      </c>
      <c r="B505" s="64" t="n">
        <v>45906</v>
      </c>
      <c r="C505" s="35" t="s">
        <v>1557</v>
      </c>
      <c r="D505" s="35" t="s">
        <v>1070</v>
      </c>
      <c r="E505" s="35" t="n">
        <v>61</v>
      </c>
      <c r="F505" s="35" t="s">
        <v>235</v>
      </c>
      <c r="G505" s="35" t="s">
        <v>220</v>
      </c>
      <c r="H505" s="35" t="s">
        <v>212</v>
      </c>
      <c r="I505" s="35" t="s">
        <v>203</v>
      </c>
      <c r="J505" s="35" t="n">
        <v>1</v>
      </c>
      <c r="K505" s="65" t="n">
        <v>12494.97</v>
      </c>
      <c r="L505" s="65" t="n">
        <v>12494.97</v>
      </c>
      <c r="M505" s="66" t="n">
        <f aca="false">DATE(YEAR(B505),MONTH(B505),1)</f>
        <v>45901</v>
      </c>
      <c r="N505" s="35" t="str">
        <f aca="false">IF(G505="","Unknown",G505)</f>
        <v>Hyderabad</v>
      </c>
      <c r="O505" s="35" t="str">
        <f aca="false">IF(E505="","Unknown",IF(E505&lt;=25,"18-25",IF(E505&lt;=35,"26-35",IF(E505&lt;=45,"36-45",IF(E505&lt;=55,"46-55","56-65")))))</f>
        <v>56-65</v>
      </c>
      <c r="P505" s="35" t="n">
        <f aca="false">COUNTIF($C$2:$C$1001,C505)</f>
        <v>1</v>
      </c>
      <c r="Q505" s="35" t="n">
        <f aca="false">IF(COUNTIF($C$2:C505,C505)=1,1,0)</f>
        <v>1</v>
      </c>
    </row>
    <row r="506" customFormat="false" ht="15" hidden="false" customHeight="false" outlineLevel="0" collapsed="false">
      <c r="A506" s="35" t="s">
        <v>1558</v>
      </c>
      <c r="B506" s="64" t="n">
        <v>45810</v>
      </c>
      <c r="C506" s="35" t="s">
        <v>1559</v>
      </c>
      <c r="D506" s="35" t="s">
        <v>1560</v>
      </c>
      <c r="E506" s="35" t="n">
        <v>32</v>
      </c>
      <c r="F506" s="35" t="s">
        <v>234</v>
      </c>
      <c r="G506" s="35" t="s">
        <v>223</v>
      </c>
      <c r="H506" s="35" t="s">
        <v>211</v>
      </c>
      <c r="I506" s="35" t="s">
        <v>202</v>
      </c>
      <c r="J506" s="35" t="n">
        <v>3</v>
      </c>
      <c r="K506" s="65" t="n">
        <v>40440.72</v>
      </c>
      <c r="L506" s="65" t="n">
        <v>121322.16</v>
      </c>
      <c r="M506" s="66" t="n">
        <f aca="false">DATE(YEAR(B506),MONTH(B506),1)</f>
        <v>45809</v>
      </c>
      <c r="N506" s="35" t="str">
        <f aca="false">IF(G506="","Unknown",G506)</f>
        <v>Gaya</v>
      </c>
      <c r="O506" s="35" t="str">
        <f aca="false">IF(E506="","Unknown",IF(E506&lt;=25,"18-25",IF(E506&lt;=35,"26-35",IF(E506&lt;=45,"36-45",IF(E506&lt;=55,"46-55","56-65")))))</f>
        <v>26-35</v>
      </c>
      <c r="P506" s="35" t="n">
        <f aca="false">COUNTIF($C$2:$C$1001,C506)</f>
        <v>1</v>
      </c>
      <c r="Q506" s="35" t="n">
        <f aca="false">IF(COUNTIF($C$2:C506,C506)=1,1,0)</f>
        <v>1</v>
      </c>
    </row>
    <row r="507" customFormat="false" ht="15" hidden="false" customHeight="false" outlineLevel="0" collapsed="false">
      <c r="A507" s="35" t="s">
        <v>1561</v>
      </c>
      <c r="B507" s="64" t="n">
        <v>45967</v>
      </c>
      <c r="C507" s="35" t="s">
        <v>1562</v>
      </c>
      <c r="D507" s="35" t="s">
        <v>1563</v>
      </c>
      <c r="E507" s="35" t="n">
        <v>44</v>
      </c>
      <c r="F507" s="35" t="s">
        <v>234</v>
      </c>
      <c r="G507" s="35" t="s">
        <v>217</v>
      </c>
      <c r="H507" s="35" t="s">
        <v>208</v>
      </c>
      <c r="I507" s="35" t="s">
        <v>200</v>
      </c>
      <c r="J507" s="35" t="n">
        <v>10</v>
      </c>
      <c r="K507" s="65" t="n">
        <v>25386.4</v>
      </c>
      <c r="L507" s="65" t="n">
        <v>253864</v>
      </c>
      <c r="M507" s="66" t="n">
        <f aca="false">DATE(YEAR(B507),MONTH(B507),1)</f>
        <v>45962</v>
      </c>
      <c r="N507" s="35" t="str">
        <f aca="false">IF(G507="","Unknown",G507)</f>
        <v>Kolkata</v>
      </c>
      <c r="O507" s="35" t="str">
        <f aca="false">IF(E507="","Unknown",IF(E507&lt;=25,"18-25",IF(E507&lt;=35,"26-35",IF(E507&lt;=45,"36-45",IF(E507&lt;=55,"46-55","56-65")))))</f>
        <v>36-45</v>
      </c>
      <c r="P507" s="35" t="n">
        <f aca="false">COUNTIF($C$2:$C$1001,C507)</f>
        <v>2</v>
      </c>
      <c r="Q507" s="35" t="n">
        <f aca="false">IF(COUNTIF($C$2:C507,C507)=1,1,0)</f>
        <v>1</v>
      </c>
    </row>
    <row r="508" customFormat="false" ht="15" hidden="false" customHeight="false" outlineLevel="0" collapsed="false">
      <c r="A508" s="35" t="s">
        <v>1564</v>
      </c>
      <c r="B508" s="64" t="n">
        <v>45724</v>
      </c>
      <c r="C508" s="35" t="s">
        <v>1565</v>
      </c>
      <c r="D508" s="35" t="s">
        <v>1371</v>
      </c>
      <c r="E508" s="35" t="n">
        <v>47</v>
      </c>
      <c r="F508" s="35" t="s">
        <v>235</v>
      </c>
      <c r="G508" s="35" t="s">
        <v>219</v>
      </c>
      <c r="H508" s="35" t="s">
        <v>208</v>
      </c>
      <c r="I508" s="35" t="s">
        <v>200</v>
      </c>
      <c r="J508" s="35" t="n">
        <v>3</v>
      </c>
      <c r="K508" s="65" t="n">
        <v>7991.06</v>
      </c>
      <c r="L508" s="65" t="n">
        <v>23973.18</v>
      </c>
      <c r="M508" s="66" t="n">
        <f aca="false">DATE(YEAR(B508),MONTH(B508),1)</f>
        <v>45717</v>
      </c>
      <c r="N508" s="35" t="str">
        <f aca="false">IF(G508="","Unknown",G508)</f>
        <v>Mumbai</v>
      </c>
      <c r="O508" s="35" t="str">
        <f aca="false">IF(E508="","Unknown",IF(E508&lt;=25,"18-25",IF(E508&lt;=35,"26-35",IF(E508&lt;=45,"36-45",IF(E508&lt;=55,"46-55","56-65")))))</f>
        <v>46-55</v>
      </c>
      <c r="P508" s="35" t="n">
        <f aca="false">COUNTIF($C$2:$C$1001,C508)</f>
        <v>1</v>
      </c>
      <c r="Q508" s="35" t="n">
        <f aca="false">IF(COUNTIF($C$2:C508,C508)=1,1,0)</f>
        <v>1</v>
      </c>
    </row>
    <row r="509" customFormat="false" ht="15" hidden="false" customHeight="false" outlineLevel="0" collapsed="false">
      <c r="A509" s="35" t="s">
        <v>1566</v>
      </c>
      <c r="B509" s="64" t="n">
        <v>45894</v>
      </c>
      <c r="C509" s="35" t="s">
        <v>1567</v>
      </c>
      <c r="D509" s="35" t="s">
        <v>1506</v>
      </c>
      <c r="E509" s="35" t="n">
        <v>44</v>
      </c>
      <c r="F509" s="35" t="s">
        <v>235</v>
      </c>
      <c r="G509" s="35" t="s">
        <v>217</v>
      </c>
      <c r="H509" s="35" t="s">
        <v>209</v>
      </c>
      <c r="I509" s="35" t="s">
        <v>200</v>
      </c>
      <c r="J509" s="35" t="n">
        <v>9</v>
      </c>
      <c r="K509" s="65" t="n">
        <v>41886.87</v>
      </c>
      <c r="L509" s="65" t="n">
        <v>376981.83</v>
      </c>
      <c r="M509" s="66" t="n">
        <f aca="false">DATE(YEAR(B509),MONTH(B509),1)</f>
        <v>45870</v>
      </c>
      <c r="N509" s="35" t="str">
        <f aca="false">IF(G509="","Unknown",G509)</f>
        <v>Kolkata</v>
      </c>
      <c r="O509" s="35" t="str">
        <f aca="false">IF(E509="","Unknown",IF(E509&lt;=25,"18-25",IF(E509&lt;=35,"26-35",IF(E509&lt;=45,"36-45",IF(E509&lt;=55,"46-55","56-65")))))</f>
        <v>36-45</v>
      </c>
      <c r="P509" s="35" t="n">
        <f aca="false">COUNTIF($C$2:$C$1001,C509)</f>
        <v>1</v>
      </c>
      <c r="Q509" s="35" t="n">
        <f aca="false">IF(COUNTIF($C$2:C509,C509)=1,1,0)</f>
        <v>1</v>
      </c>
    </row>
    <row r="510" customFormat="false" ht="15" hidden="false" customHeight="false" outlineLevel="0" collapsed="false">
      <c r="A510" s="35" t="s">
        <v>1568</v>
      </c>
      <c r="B510" s="64" t="n">
        <v>45768</v>
      </c>
      <c r="C510" s="35" t="s">
        <v>1569</v>
      </c>
      <c r="D510" s="35" t="s">
        <v>1371</v>
      </c>
      <c r="E510" s="35" t="n">
        <v>58</v>
      </c>
      <c r="F510" s="35" t="s">
        <v>235</v>
      </c>
      <c r="G510" s="35" t="s">
        <v>219</v>
      </c>
      <c r="H510" s="35" t="s">
        <v>208</v>
      </c>
      <c r="I510" s="35" t="s">
        <v>200</v>
      </c>
      <c r="J510" s="35" t="n">
        <v>10</v>
      </c>
      <c r="K510" s="65" t="n">
        <v>7062.57</v>
      </c>
      <c r="L510" s="65" t="n">
        <v>70625.7</v>
      </c>
      <c r="M510" s="66" t="n">
        <f aca="false">DATE(YEAR(B510),MONTH(B510),1)</f>
        <v>45748</v>
      </c>
      <c r="N510" s="35" t="str">
        <f aca="false">IF(G510="","Unknown",G510)</f>
        <v>Mumbai</v>
      </c>
      <c r="O510" s="35" t="str">
        <f aca="false">IF(E510="","Unknown",IF(E510&lt;=25,"18-25",IF(E510&lt;=35,"26-35",IF(E510&lt;=45,"36-45",IF(E510&lt;=55,"46-55","56-65")))))</f>
        <v>56-65</v>
      </c>
      <c r="P510" s="35" t="n">
        <f aca="false">COUNTIF($C$2:$C$1001,C510)</f>
        <v>1</v>
      </c>
      <c r="Q510" s="35" t="n">
        <f aca="false">IF(COUNTIF($C$2:C510,C510)=1,1,0)</f>
        <v>1</v>
      </c>
    </row>
    <row r="511" customFormat="false" ht="15" hidden="false" customHeight="false" outlineLevel="0" collapsed="false">
      <c r="A511" s="35" t="s">
        <v>1570</v>
      </c>
      <c r="B511" s="64" t="n">
        <v>45952</v>
      </c>
      <c r="C511" s="35" t="s">
        <v>1571</v>
      </c>
      <c r="D511" s="35" t="s">
        <v>612</v>
      </c>
      <c r="E511" s="35" t="n">
        <v>27</v>
      </c>
      <c r="F511" s="35" t="s">
        <v>235</v>
      </c>
      <c r="G511" s="35" t="s">
        <v>221</v>
      </c>
      <c r="H511" s="35" t="s">
        <v>210</v>
      </c>
      <c r="I511" s="35" t="s">
        <v>201</v>
      </c>
      <c r="J511" s="35" t="n">
        <v>10</v>
      </c>
      <c r="K511" s="65" t="n">
        <v>8028.98</v>
      </c>
      <c r="L511" s="65" t="n">
        <v>80289.8</v>
      </c>
      <c r="M511" s="66" t="n">
        <f aca="false">DATE(YEAR(B511),MONTH(B511),1)</f>
        <v>45931</v>
      </c>
      <c r="N511" s="35" t="str">
        <f aca="false">IF(G511="","Unknown",G511)</f>
        <v>Delhi</v>
      </c>
      <c r="O511" s="35" t="str">
        <f aca="false">IF(E511="","Unknown",IF(E511&lt;=25,"18-25",IF(E511&lt;=35,"26-35",IF(E511&lt;=45,"36-45",IF(E511&lt;=55,"46-55","56-65")))))</f>
        <v>26-35</v>
      </c>
      <c r="P511" s="35" t="n">
        <f aca="false">COUNTIF($C$2:$C$1001,C511)</f>
        <v>1</v>
      </c>
      <c r="Q511" s="35" t="n">
        <f aca="false">IF(COUNTIF($C$2:C511,C511)=1,1,0)</f>
        <v>1</v>
      </c>
    </row>
    <row r="512" customFormat="false" ht="15" hidden="false" customHeight="false" outlineLevel="0" collapsed="false">
      <c r="A512" s="35" t="s">
        <v>1572</v>
      </c>
      <c r="B512" s="64" t="n">
        <v>45959</v>
      </c>
      <c r="C512" s="35" t="s">
        <v>1573</v>
      </c>
      <c r="D512" s="35" t="s">
        <v>269</v>
      </c>
      <c r="E512" s="35" t="n">
        <v>24</v>
      </c>
      <c r="F512" s="35" t="s">
        <v>235</v>
      </c>
      <c r="G512" s="35" t="s">
        <v>219</v>
      </c>
      <c r="H512" s="35" t="s">
        <v>212</v>
      </c>
      <c r="I512" s="35" t="s">
        <v>203</v>
      </c>
      <c r="J512" s="35" t="n">
        <v>7</v>
      </c>
      <c r="K512" s="65" t="n">
        <v>49735.32</v>
      </c>
      <c r="L512" s="65" t="n">
        <v>348147.24</v>
      </c>
      <c r="M512" s="66" t="n">
        <f aca="false">DATE(YEAR(B512),MONTH(B512),1)</f>
        <v>45931</v>
      </c>
      <c r="N512" s="35" t="str">
        <f aca="false">IF(G512="","Unknown",G512)</f>
        <v>Mumbai</v>
      </c>
      <c r="O512" s="35" t="str">
        <f aca="false">IF(E512="","Unknown",IF(E512&lt;=25,"18-25",IF(E512&lt;=35,"26-35",IF(E512&lt;=45,"36-45",IF(E512&lt;=55,"46-55","56-65")))))</f>
        <v>18-25</v>
      </c>
      <c r="P512" s="35" t="n">
        <f aca="false">COUNTIF($C$2:$C$1001,C512)</f>
        <v>2</v>
      </c>
      <c r="Q512" s="35" t="n">
        <f aca="false">IF(COUNTIF($C$2:C512,C512)=1,1,0)</f>
        <v>1</v>
      </c>
    </row>
    <row r="513" customFormat="false" ht="15" hidden="false" customHeight="false" outlineLevel="0" collapsed="false">
      <c r="A513" s="35" t="s">
        <v>1574</v>
      </c>
      <c r="B513" s="64" t="n">
        <v>45954</v>
      </c>
      <c r="C513" s="35" t="s">
        <v>1575</v>
      </c>
      <c r="D513" s="35" t="s">
        <v>1576</v>
      </c>
      <c r="E513" s="35" t="n">
        <v>50</v>
      </c>
      <c r="F513" s="35" t="s">
        <v>235</v>
      </c>
      <c r="G513" s="35" t="s">
        <v>219</v>
      </c>
      <c r="H513" s="35" t="s">
        <v>213</v>
      </c>
      <c r="I513" s="35" t="s">
        <v>204</v>
      </c>
      <c r="J513" s="35" t="n">
        <v>4</v>
      </c>
      <c r="K513" s="65" t="n">
        <v>25461.32</v>
      </c>
      <c r="L513" s="65" t="n">
        <v>101845.28</v>
      </c>
      <c r="M513" s="66" t="n">
        <f aca="false">DATE(YEAR(B513),MONTH(B513),1)</f>
        <v>45931</v>
      </c>
      <c r="N513" s="35" t="str">
        <f aca="false">IF(G513="","Unknown",G513)</f>
        <v>Mumbai</v>
      </c>
      <c r="O513" s="35" t="str">
        <f aca="false">IF(E513="","Unknown",IF(E513&lt;=25,"18-25",IF(E513&lt;=35,"26-35",IF(E513&lt;=45,"36-45",IF(E513&lt;=55,"46-55","56-65")))))</f>
        <v>46-55</v>
      </c>
      <c r="P513" s="35" t="n">
        <f aca="false">COUNTIF($C$2:$C$1001,C513)</f>
        <v>1</v>
      </c>
      <c r="Q513" s="35" t="n">
        <f aca="false">IF(COUNTIF($C$2:C513,C513)=1,1,0)</f>
        <v>1</v>
      </c>
    </row>
    <row r="514" customFormat="false" ht="15" hidden="false" customHeight="false" outlineLevel="0" collapsed="false">
      <c r="A514" s="35" t="s">
        <v>1577</v>
      </c>
      <c r="B514" s="64" t="n">
        <v>45878</v>
      </c>
      <c r="C514" s="35" t="s">
        <v>1578</v>
      </c>
      <c r="D514" s="35" t="s">
        <v>1579</v>
      </c>
      <c r="E514" s="35" t="n">
        <v>30</v>
      </c>
      <c r="F514" s="35" t="s">
        <v>234</v>
      </c>
      <c r="G514" s="35" t="s">
        <v>218</v>
      </c>
      <c r="H514" s="35" t="s">
        <v>208</v>
      </c>
      <c r="I514" s="35" t="s">
        <v>200</v>
      </c>
      <c r="J514" s="35" t="n">
        <v>1</v>
      </c>
      <c r="K514" s="65" t="n">
        <v>30210.72</v>
      </c>
      <c r="L514" s="65" t="n">
        <v>30210.72</v>
      </c>
      <c r="M514" s="66" t="n">
        <f aca="false">DATE(YEAR(B514),MONTH(B514),1)</f>
        <v>45870</v>
      </c>
      <c r="N514" s="35" t="str">
        <f aca="false">IF(G514="","Unknown",G514)</f>
        <v>Bengaluru</v>
      </c>
      <c r="O514" s="35" t="str">
        <f aca="false">IF(E514="","Unknown",IF(E514&lt;=25,"18-25",IF(E514&lt;=35,"26-35",IF(E514&lt;=45,"36-45",IF(E514&lt;=55,"46-55","56-65")))))</f>
        <v>26-35</v>
      </c>
      <c r="P514" s="35" t="n">
        <f aca="false">COUNTIF($C$2:$C$1001,C514)</f>
        <v>1</v>
      </c>
      <c r="Q514" s="35" t="n">
        <f aca="false">IF(COUNTIF($C$2:C514,C514)=1,1,0)</f>
        <v>1</v>
      </c>
    </row>
    <row r="515" customFormat="false" ht="15" hidden="false" customHeight="false" outlineLevel="0" collapsed="false">
      <c r="A515" s="35" t="s">
        <v>1580</v>
      </c>
      <c r="B515" s="64" t="n">
        <v>45700</v>
      </c>
      <c r="C515" s="35" t="s">
        <v>1581</v>
      </c>
      <c r="D515" s="35" t="s">
        <v>520</v>
      </c>
      <c r="E515" s="35" t="n">
        <v>41</v>
      </c>
      <c r="F515" s="35" t="s">
        <v>234</v>
      </c>
      <c r="G515" s="35" t="s">
        <v>221</v>
      </c>
      <c r="H515" s="35" t="s">
        <v>209</v>
      </c>
      <c r="I515" s="35" t="s">
        <v>200</v>
      </c>
      <c r="J515" s="35" t="n">
        <v>6</v>
      </c>
      <c r="K515" s="65" t="n">
        <v>42150.74</v>
      </c>
      <c r="L515" s="65" t="n">
        <v>252904.44</v>
      </c>
      <c r="M515" s="66" t="n">
        <f aca="false">DATE(YEAR(B515),MONTH(B515),1)</f>
        <v>45689</v>
      </c>
      <c r="N515" s="35" t="str">
        <f aca="false">IF(G515="","Unknown",G515)</f>
        <v>Delhi</v>
      </c>
      <c r="O515" s="35" t="str">
        <f aca="false">IF(E515="","Unknown",IF(E515&lt;=25,"18-25",IF(E515&lt;=35,"26-35",IF(E515&lt;=45,"36-45",IF(E515&lt;=55,"46-55","56-65")))))</f>
        <v>36-45</v>
      </c>
      <c r="P515" s="35" t="n">
        <f aca="false">COUNTIF($C$2:$C$1001,C515)</f>
        <v>1</v>
      </c>
      <c r="Q515" s="35" t="n">
        <f aca="false">IF(COUNTIF($C$2:C515,C515)=1,1,0)</f>
        <v>1</v>
      </c>
    </row>
    <row r="516" customFormat="false" ht="15" hidden="false" customHeight="false" outlineLevel="0" collapsed="false">
      <c r="A516" s="35" t="s">
        <v>1582</v>
      </c>
      <c r="B516" s="64" t="n">
        <v>45789</v>
      </c>
      <c r="C516" s="35" t="s">
        <v>1583</v>
      </c>
      <c r="D516" s="35" t="s">
        <v>1584</v>
      </c>
      <c r="E516" s="35" t="n">
        <v>37</v>
      </c>
      <c r="F516" s="35" t="s">
        <v>235</v>
      </c>
      <c r="G516" s="35" t="s">
        <v>221</v>
      </c>
      <c r="H516" s="35" t="s">
        <v>209</v>
      </c>
      <c r="I516" s="35" t="s">
        <v>200</v>
      </c>
      <c r="J516" s="35" t="n">
        <v>1</v>
      </c>
      <c r="K516" s="65" t="n">
        <v>16249.69</v>
      </c>
      <c r="L516" s="65" t="n">
        <v>16249.69</v>
      </c>
      <c r="M516" s="66" t="n">
        <f aca="false">DATE(YEAR(B516),MONTH(B516),1)</f>
        <v>45778</v>
      </c>
      <c r="N516" s="35" t="str">
        <f aca="false">IF(G516="","Unknown",G516)</f>
        <v>Delhi</v>
      </c>
      <c r="O516" s="35" t="str">
        <f aca="false">IF(E516="","Unknown",IF(E516&lt;=25,"18-25",IF(E516&lt;=35,"26-35",IF(E516&lt;=45,"36-45",IF(E516&lt;=55,"46-55","56-65")))))</f>
        <v>36-45</v>
      </c>
      <c r="P516" s="35" t="n">
        <f aca="false">COUNTIF($C$2:$C$1001,C516)</f>
        <v>1</v>
      </c>
      <c r="Q516" s="35" t="n">
        <f aca="false">IF(COUNTIF($C$2:C516,C516)=1,1,0)</f>
        <v>1</v>
      </c>
    </row>
    <row r="517" customFormat="false" ht="15" hidden="false" customHeight="false" outlineLevel="0" collapsed="false">
      <c r="A517" s="35" t="s">
        <v>1585</v>
      </c>
      <c r="B517" s="64" t="n">
        <v>45786</v>
      </c>
      <c r="C517" s="35" t="s">
        <v>1586</v>
      </c>
      <c r="D517" s="35" t="s">
        <v>1587</v>
      </c>
      <c r="E517" s="35" t="n">
        <v>34</v>
      </c>
      <c r="F517" s="35" t="s">
        <v>234</v>
      </c>
      <c r="G517" s="35" t="s">
        <v>219</v>
      </c>
      <c r="H517" s="35" t="s">
        <v>213</v>
      </c>
      <c r="I517" s="35" t="s">
        <v>204</v>
      </c>
      <c r="J517" s="35" t="n">
        <v>6</v>
      </c>
      <c r="K517" s="65" t="n">
        <v>16403.01</v>
      </c>
      <c r="L517" s="65" t="n">
        <v>98418.06</v>
      </c>
      <c r="M517" s="66" t="n">
        <f aca="false">DATE(YEAR(B517),MONTH(B517),1)</f>
        <v>45778</v>
      </c>
      <c r="N517" s="35" t="str">
        <f aca="false">IF(G517="","Unknown",G517)</f>
        <v>Mumbai</v>
      </c>
      <c r="O517" s="35" t="str">
        <f aca="false">IF(E517="","Unknown",IF(E517&lt;=25,"18-25",IF(E517&lt;=35,"26-35",IF(E517&lt;=45,"36-45",IF(E517&lt;=55,"46-55","56-65")))))</f>
        <v>26-35</v>
      </c>
      <c r="P517" s="35" t="n">
        <f aca="false">COUNTIF($C$2:$C$1001,C517)</f>
        <v>1</v>
      </c>
      <c r="Q517" s="35" t="n">
        <f aca="false">IF(COUNTIF($C$2:C517,C517)=1,1,0)</f>
        <v>1</v>
      </c>
    </row>
    <row r="518" customFormat="false" ht="15" hidden="false" customHeight="false" outlineLevel="0" collapsed="false">
      <c r="A518" s="35" t="s">
        <v>1588</v>
      </c>
      <c r="B518" s="64" t="n">
        <v>46007</v>
      </c>
      <c r="C518" s="35" t="s">
        <v>1589</v>
      </c>
      <c r="D518" s="35" t="s">
        <v>1091</v>
      </c>
      <c r="E518" s="35" t="n">
        <v>35</v>
      </c>
      <c r="F518" s="35" t="s">
        <v>235</v>
      </c>
      <c r="G518" s="35" t="s">
        <v>217</v>
      </c>
      <c r="H518" s="35" t="s">
        <v>208</v>
      </c>
      <c r="I518" s="35" t="s">
        <v>200</v>
      </c>
      <c r="J518" s="35" t="n">
        <v>7</v>
      </c>
      <c r="K518" s="65" t="n">
        <v>19933.44</v>
      </c>
      <c r="L518" s="65" t="n">
        <v>139534.08</v>
      </c>
      <c r="M518" s="66" t="n">
        <f aca="false">DATE(YEAR(B518),MONTH(B518),1)</f>
        <v>45992</v>
      </c>
      <c r="N518" s="35" t="str">
        <f aca="false">IF(G518="","Unknown",G518)</f>
        <v>Kolkata</v>
      </c>
      <c r="O518" s="35" t="str">
        <f aca="false">IF(E518="","Unknown",IF(E518&lt;=25,"18-25",IF(E518&lt;=35,"26-35",IF(E518&lt;=45,"36-45",IF(E518&lt;=55,"46-55","56-65")))))</f>
        <v>26-35</v>
      </c>
      <c r="P518" s="35" t="n">
        <f aca="false">COUNTIF($C$2:$C$1001,C518)</f>
        <v>1</v>
      </c>
      <c r="Q518" s="35" t="n">
        <f aca="false">IF(COUNTIF($C$2:C518,C518)=1,1,0)</f>
        <v>1</v>
      </c>
    </row>
    <row r="519" customFormat="false" ht="15" hidden="false" customHeight="false" outlineLevel="0" collapsed="false">
      <c r="A519" s="35" t="s">
        <v>1590</v>
      </c>
      <c r="B519" s="64" t="n">
        <v>46010</v>
      </c>
      <c r="C519" s="35" t="s">
        <v>1591</v>
      </c>
      <c r="D519" s="35" t="s">
        <v>523</v>
      </c>
      <c r="E519" s="35" t="n">
        <v>65</v>
      </c>
      <c r="F519" s="35" t="s">
        <v>235</v>
      </c>
      <c r="G519" s="35" t="s">
        <v>216</v>
      </c>
      <c r="H519" s="35" t="s">
        <v>211</v>
      </c>
      <c r="I519" s="35" t="s">
        <v>202</v>
      </c>
      <c r="J519" s="35" t="n">
        <v>3</v>
      </c>
      <c r="K519" s="65" t="n">
        <v>48879.87</v>
      </c>
      <c r="L519" s="65" t="n">
        <v>146639.61</v>
      </c>
      <c r="M519" s="66" t="n">
        <f aca="false">DATE(YEAR(B519),MONTH(B519),1)</f>
        <v>45992</v>
      </c>
      <c r="N519" s="35" t="str">
        <f aca="false">IF(G519="","Unknown",G519)</f>
        <v>Patna</v>
      </c>
      <c r="O519" s="35" t="str">
        <f aca="false">IF(E519="","Unknown",IF(E519&lt;=25,"18-25",IF(E519&lt;=35,"26-35",IF(E519&lt;=45,"36-45",IF(E519&lt;=55,"46-55","56-65")))))</f>
        <v>56-65</v>
      </c>
      <c r="P519" s="35" t="n">
        <f aca="false">COUNTIF($C$2:$C$1001,C519)</f>
        <v>1</v>
      </c>
      <c r="Q519" s="35" t="n">
        <f aca="false">IF(COUNTIF($C$2:C519,C519)=1,1,0)</f>
        <v>1</v>
      </c>
    </row>
    <row r="520" customFormat="false" ht="15" hidden="false" customHeight="false" outlineLevel="0" collapsed="false">
      <c r="A520" s="35" t="s">
        <v>1592</v>
      </c>
      <c r="B520" s="64" t="n">
        <v>45970</v>
      </c>
      <c r="C520" s="35" t="s">
        <v>1593</v>
      </c>
      <c r="D520" s="35" t="s">
        <v>1594</v>
      </c>
      <c r="E520" s="35" t="n">
        <v>31</v>
      </c>
      <c r="F520" s="35" t="s">
        <v>235</v>
      </c>
      <c r="G520" s="35" t="s">
        <v>220</v>
      </c>
      <c r="H520" s="35" t="s">
        <v>212</v>
      </c>
      <c r="I520" s="35" t="s">
        <v>203</v>
      </c>
      <c r="J520" s="35" t="n">
        <v>2</v>
      </c>
      <c r="K520" s="65" t="n">
        <v>32458.06</v>
      </c>
      <c r="L520" s="65" t="n">
        <v>64916.12</v>
      </c>
      <c r="M520" s="66" t="n">
        <f aca="false">DATE(YEAR(B520),MONTH(B520),1)</f>
        <v>45962</v>
      </c>
      <c r="N520" s="35" t="str">
        <f aca="false">IF(G520="","Unknown",G520)</f>
        <v>Hyderabad</v>
      </c>
      <c r="O520" s="35" t="str">
        <f aca="false">IF(E520="","Unknown",IF(E520&lt;=25,"18-25",IF(E520&lt;=35,"26-35",IF(E520&lt;=45,"36-45",IF(E520&lt;=55,"46-55","56-65")))))</f>
        <v>26-35</v>
      </c>
      <c r="P520" s="35" t="n">
        <f aca="false">COUNTIF($C$2:$C$1001,C520)</f>
        <v>1</v>
      </c>
      <c r="Q520" s="35" t="n">
        <f aca="false">IF(COUNTIF($C$2:C520,C520)=1,1,0)</f>
        <v>1</v>
      </c>
    </row>
    <row r="521" customFormat="false" ht="15" hidden="false" customHeight="false" outlineLevel="0" collapsed="false">
      <c r="A521" s="35" t="s">
        <v>1595</v>
      </c>
      <c r="B521" s="64" t="n">
        <v>45953</v>
      </c>
      <c r="C521" s="35" t="s">
        <v>1596</v>
      </c>
      <c r="D521" s="35" t="s">
        <v>450</v>
      </c>
      <c r="E521" s="35" t="n">
        <v>47</v>
      </c>
      <c r="F521" s="35" t="s">
        <v>234</v>
      </c>
      <c r="G521" s="35" t="s">
        <v>220</v>
      </c>
      <c r="H521" s="35" t="s">
        <v>211</v>
      </c>
      <c r="I521" s="35" t="s">
        <v>202</v>
      </c>
      <c r="J521" s="35" t="n">
        <v>9</v>
      </c>
      <c r="K521" s="65" t="n">
        <v>32104.55</v>
      </c>
      <c r="L521" s="65" t="n">
        <v>288940.95</v>
      </c>
      <c r="M521" s="66" t="n">
        <f aca="false">DATE(YEAR(B521),MONTH(B521),1)</f>
        <v>45931</v>
      </c>
      <c r="N521" s="35" t="str">
        <f aca="false">IF(G521="","Unknown",G521)</f>
        <v>Hyderabad</v>
      </c>
      <c r="O521" s="35" t="str">
        <f aca="false">IF(E521="","Unknown",IF(E521&lt;=25,"18-25",IF(E521&lt;=35,"26-35",IF(E521&lt;=45,"36-45",IF(E521&lt;=55,"46-55","56-65")))))</f>
        <v>46-55</v>
      </c>
      <c r="P521" s="35" t="n">
        <f aca="false">COUNTIF($C$2:$C$1001,C521)</f>
        <v>1</v>
      </c>
      <c r="Q521" s="35" t="n">
        <f aca="false">IF(COUNTIF($C$2:C521,C521)=1,1,0)</f>
        <v>1</v>
      </c>
    </row>
    <row r="522" customFormat="false" ht="15" hidden="false" customHeight="false" outlineLevel="0" collapsed="false">
      <c r="A522" s="35" t="s">
        <v>1597</v>
      </c>
      <c r="B522" s="64" t="n">
        <v>45771</v>
      </c>
      <c r="C522" s="35" t="s">
        <v>1598</v>
      </c>
      <c r="D522" s="35" t="s">
        <v>1599</v>
      </c>
      <c r="E522" s="35" t="n">
        <v>37</v>
      </c>
      <c r="F522" s="35" t="s">
        <v>234</v>
      </c>
      <c r="G522" s="35" t="s">
        <v>223</v>
      </c>
      <c r="H522" s="35" t="s">
        <v>208</v>
      </c>
      <c r="I522" s="35" t="s">
        <v>200</v>
      </c>
      <c r="J522" s="35" t="n">
        <v>3</v>
      </c>
      <c r="K522" s="65" t="n">
        <v>35318.2</v>
      </c>
      <c r="L522" s="65" t="n">
        <v>105954.6</v>
      </c>
      <c r="M522" s="66" t="n">
        <f aca="false">DATE(YEAR(B522),MONTH(B522),1)</f>
        <v>45748</v>
      </c>
      <c r="N522" s="35" t="str">
        <f aca="false">IF(G522="","Unknown",G522)</f>
        <v>Gaya</v>
      </c>
      <c r="O522" s="35" t="str">
        <f aca="false">IF(E522="","Unknown",IF(E522&lt;=25,"18-25",IF(E522&lt;=35,"26-35",IF(E522&lt;=45,"36-45",IF(E522&lt;=55,"46-55","56-65")))))</f>
        <v>36-45</v>
      </c>
      <c r="P522" s="35" t="n">
        <f aca="false">COUNTIF($C$2:$C$1001,C522)</f>
        <v>1</v>
      </c>
      <c r="Q522" s="35" t="n">
        <f aca="false">IF(COUNTIF($C$2:C522,C522)=1,1,0)</f>
        <v>1</v>
      </c>
    </row>
    <row r="523" customFormat="false" ht="15" hidden="false" customHeight="false" outlineLevel="0" collapsed="false">
      <c r="A523" s="35" t="s">
        <v>1600</v>
      </c>
      <c r="B523" s="64" t="n">
        <v>45843</v>
      </c>
      <c r="C523" s="35" t="s">
        <v>1601</v>
      </c>
      <c r="D523" s="35" t="s">
        <v>1126</v>
      </c>
      <c r="E523" s="35" t="n">
        <v>62</v>
      </c>
      <c r="F523" s="35" t="s">
        <v>234</v>
      </c>
      <c r="G523" s="35" t="s">
        <v>223</v>
      </c>
      <c r="H523" s="35" t="s">
        <v>209</v>
      </c>
      <c r="I523" s="35" t="s">
        <v>200</v>
      </c>
      <c r="J523" s="35" t="n">
        <v>1</v>
      </c>
      <c r="K523" s="65" t="n">
        <v>47870.04</v>
      </c>
      <c r="L523" s="65" t="n">
        <v>47870.04</v>
      </c>
      <c r="M523" s="66" t="n">
        <f aca="false">DATE(YEAR(B523),MONTH(B523),1)</f>
        <v>45839</v>
      </c>
      <c r="N523" s="35" t="str">
        <f aca="false">IF(G523="","Unknown",G523)</f>
        <v>Gaya</v>
      </c>
      <c r="O523" s="35" t="str">
        <f aca="false">IF(E523="","Unknown",IF(E523&lt;=25,"18-25",IF(E523&lt;=35,"26-35",IF(E523&lt;=45,"36-45",IF(E523&lt;=55,"46-55","56-65")))))</f>
        <v>56-65</v>
      </c>
      <c r="P523" s="35" t="n">
        <f aca="false">COUNTIF($C$2:$C$1001,C523)</f>
        <v>1</v>
      </c>
      <c r="Q523" s="35" t="n">
        <f aca="false">IF(COUNTIF($C$2:C523,C523)=1,1,0)</f>
        <v>1</v>
      </c>
    </row>
    <row r="524" customFormat="false" ht="15" hidden="false" customHeight="false" outlineLevel="0" collapsed="false">
      <c r="A524" s="35" t="s">
        <v>1602</v>
      </c>
      <c r="B524" s="64" t="n">
        <v>45698</v>
      </c>
      <c r="C524" s="35" t="s">
        <v>1603</v>
      </c>
      <c r="D524" s="35" t="s">
        <v>638</v>
      </c>
      <c r="E524" s="35" t="n">
        <v>39</v>
      </c>
      <c r="F524" s="35" t="s">
        <v>235</v>
      </c>
      <c r="G524" s="35" t="s">
        <v>218</v>
      </c>
      <c r="H524" s="35" t="s">
        <v>213</v>
      </c>
      <c r="I524" s="35" t="s">
        <v>204</v>
      </c>
      <c r="J524" s="35" t="n">
        <v>1</v>
      </c>
      <c r="K524" s="65" t="n">
        <v>47848</v>
      </c>
      <c r="L524" s="65" t="n">
        <v>47848</v>
      </c>
      <c r="M524" s="66" t="n">
        <f aca="false">DATE(YEAR(B524),MONTH(B524),1)</f>
        <v>45689</v>
      </c>
      <c r="N524" s="35" t="str">
        <f aca="false">IF(G524="","Unknown",G524)</f>
        <v>Bengaluru</v>
      </c>
      <c r="O524" s="35" t="str">
        <f aca="false">IF(E524="","Unknown",IF(E524&lt;=25,"18-25",IF(E524&lt;=35,"26-35",IF(E524&lt;=45,"36-45",IF(E524&lt;=55,"46-55","56-65")))))</f>
        <v>36-45</v>
      </c>
      <c r="P524" s="35" t="n">
        <f aca="false">COUNTIF($C$2:$C$1001,C524)</f>
        <v>1</v>
      </c>
      <c r="Q524" s="35" t="n">
        <f aca="false">IF(COUNTIF($C$2:C524,C524)=1,1,0)</f>
        <v>1</v>
      </c>
    </row>
    <row r="525" customFormat="false" ht="15" hidden="false" customHeight="false" outlineLevel="0" collapsed="false">
      <c r="A525" s="35" t="s">
        <v>1604</v>
      </c>
      <c r="B525" s="64" t="n">
        <v>46022</v>
      </c>
      <c r="C525" s="35" t="s">
        <v>1605</v>
      </c>
      <c r="D525" s="35" t="s">
        <v>1153</v>
      </c>
      <c r="E525" s="35" t="n">
        <v>45</v>
      </c>
      <c r="F525" s="35" t="s">
        <v>235</v>
      </c>
      <c r="G525" s="35"/>
      <c r="H525" s="35" t="s">
        <v>213</v>
      </c>
      <c r="I525" s="35" t="s">
        <v>204</v>
      </c>
      <c r="J525" s="35" t="n">
        <v>7</v>
      </c>
      <c r="K525" s="65" t="n">
        <v>751.97</v>
      </c>
      <c r="L525" s="65" t="n">
        <v>5263.79</v>
      </c>
      <c r="M525" s="66" t="n">
        <f aca="false">DATE(YEAR(B525),MONTH(B525),1)</f>
        <v>45992</v>
      </c>
      <c r="N525" s="35" t="str">
        <f aca="false">IF(G525="","Unknown",G525)</f>
        <v>Unknown</v>
      </c>
      <c r="O525" s="35" t="str">
        <f aca="false">IF(E525="","Unknown",IF(E525&lt;=25,"18-25",IF(E525&lt;=35,"26-35",IF(E525&lt;=45,"36-45",IF(E525&lt;=55,"46-55","56-65")))))</f>
        <v>36-45</v>
      </c>
      <c r="P525" s="35" t="n">
        <f aca="false">COUNTIF($C$2:$C$1001,C525)</f>
        <v>1</v>
      </c>
      <c r="Q525" s="35" t="n">
        <f aca="false">IF(COUNTIF($C$2:C525,C525)=1,1,0)</f>
        <v>1</v>
      </c>
    </row>
    <row r="526" customFormat="false" ht="15" hidden="false" customHeight="false" outlineLevel="0" collapsed="false">
      <c r="A526" s="35" t="s">
        <v>1606</v>
      </c>
      <c r="B526" s="64" t="n">
        <v>45702</v>
      </c>
      <c r="C526" s="35" t="s">
        <v>1607</v>
      </c>
      <c r="D526" s="35" t="s">
        <v>689</v>
      </c>
      <c r="E526" s="35" t="n">
        <v>54</v>
      </c>
      <c r="F526" s="35" t="s">
        <v>234</v>
      </c>
      <c r="G526" s="35" t="s">
        <v>219</v>
      </c>
      <c r="H526" s="35" t="s">
        <v>209</v>
      </c>
      <c r="I526" s="35" t="s">
        <v>200</v>
      </c>
      <c r="J526" s="35" t="n">
        <v>2</v>
      </c>
      <c r="K526" s="65" t="n">
        <v>22666.98</v>
      </c>
      <c r="L526" s="65" t="n">
        <v>45333.96</v>
      </c>
      <c r="M526" s="66" t="n">
        <f aca="false">DATE(YEAR(B526),MONTH(B526),1)</f>
        <v>45689</v>
      </c>
      <c r="N526" s="35" t="str">
        <f aca="false">IF(G526="","Unknown",G526)</f>
        <v>Mumbai</v>
      </c>
      <c r="O526" s="35" t="str">
        <f aca="false">IF(E526="","Unknown",IF(E526&lt;=25,"18-25",IF(E526&lt;=35,"26-35",IF(E526&lt;=45,"36-45",IF(E526&lt;=55,"46-55","56-65")))))</f>
        <v>46-55</v>
      </c>
      <c r="P526" s="35" t="n">
        <f aca="false">COUNTIF($C$2:$C$1001,C526)</f>
        <v>1</v>
      </c>
      <c r="Q526" s="35" t="n">
        <f aca="false">IF(COUNTIF($C$2:C526,C526)=1,1,0)</f>
        <v>1</v>
      </c>
    </row>
    <row r="527" customFormat="false" ht="15" hidden="false" customHeight="false" outlineLevel="0" collapsed="false">
      <c r="A527" s="35" t="s">
        <v>1608</v>
      </c>
      <c r="B527" s="64" t="n">
        <v>45743</v>
      </c>
      <c r="C527" s="35" t="s">
        <v>1609</v>
      </c>
      <c r="D527" s="35" t="s">
        <v>1610</v>
      </c>
      <c r="E527" s="35" t="n">
        <v>22</v>
      </c>
      <c r="F527" s="35" t="s">
        <v>235</v>
      </c>
      <c r="G527" s="35" t="s">
        <v>216</v>
      </c>
      <c r="H527" s="35" t="s">
        <v>209</v>
      </c>
      <c r="I527" s="35" t="s">
        <v>200</v>
      </c>
      <c r="J527" s="35" t="n">
        <v>8</v>
      </c>
      <c r="K527" s="65" t="n">
        <v>12225.23</v>
      </c>
      <c r="L527" s="65" t="n">
        <v>97801.84</v>
      </c>
      <c r="M527" s="66" t="n">
        <f aca="false">DATE(YEAR(B527),MONTH(B527),1)</f>
        <v>45717</v>
      </c>
      <c r="N527" s="35" t="str">
        <f aca="false">IF(G527="","Unknown",G527)</f>
        <v>Patna</v>
      </c>
      <c r="O527" s="35" t="str">
        <f aca="false">IF(E527="","Unknown",IF(E527&lt;=25,"18-25",IF(E527&lt;=35,"26-35",IF(E527&lt;=45,"36-45",IF(E527&lt;=55,"46-55","56-65")))))</f>
        <v>18-25</v>
      </c>
      <c r="P527" s="35" t="n">
        <f aca="false">COUNTIF($C$2:$C$1001,C527)</f>
        <v>1</v>
      </c>
      <c r="Q527" s="35" t="n">
        <f aca="false">IF(COUNTIF($C$2:C527,C527)=1,1,0)</f>
        <v>1</v>
      </c>
    </row>
    <row r="528" customFormat="false" ht="15" hidden="false" customHeight="false" outlineLevel="0" collapsed="false">
      <c r="A528" s="35" t="s">
        <v>1611</v>
      </c>
      <c r="B528" s="64" t="n">
        <v>45867</v>
      </c>
      <c r="C528" s="35" t="s">
        <v>1612</v>
      </c>
      <c r="D528" s="35" t="s">
        <v>1613</v>
      </c>
      <c r="E528" s="35" t="n">
        <v>41</v>
      </c>
      <c r="F528" s="35" t="s">
        <v>235</v>
      </c>
      <c r="G528" s="35" t="s">
        <v>222</v>
      </c>
      <c r="H528" s="35" t="s">
        <v>211</v>
      </c>
      <c r="I528" s="35" t="s">
        <v>202</v>
      </c>
      <c r="J528" s="35" t="n">
        <v>7</v>
      </c>
      <c r="K528" s="65" t="n">
        <v>17760.62</v>
      </c>
      <c r="L528" s="65" t="n">
        <v>124324.34</v>
      </c>
      <c r="M528" s="66" t="n">
        <f aca="false">DATE(YEAR(B528),MONTH(B528),1)</f>
        <v>45839</v>
      </c>
      <c r="N528" s="35" t="str">
        <f aca="false">IF(G528="","Unknown",G528)</f>
        <v>Pune</v>
      </c>
      <c r="O528" s="35" t="str">
        <f aca="false">IF(E528="","Unknown",IF(E528&lt;=25,"18-25",IF(E528&lt;=35,"26-35",IF(E528&lt;=45,"36-45",IF(E528&lt;=55,"46-55","56-65")))))</f>
        <v>36-45</v>
      </c>
      <c r="P528" s="35" t="n">
        <f aca="false">COUNTIF($C$2:$C$1001,C528)</f>
        <v>1</v>
      </c>
      <c r="Q528" s="35" t="n">
        <f aca="false">IF(COUNTIF($C$2:C528,C528)=1,1,0)</f>
        <v>1</v>
      </c>
    </row>
    <row r="529" customFormat="false" ht="15" hidden="false" customHeight="false" outlineLevel="0" collapsed="false">
      <c r="A529" s="35" t="s">
        <v>1614</v>
      </c>
      <c r="B529" s="64" t="n">
        <v>45908</v>
      </c>
      <c r="C529" s="35" t="s">
        <v>1615</v>
      </c>
      <c r="D529" s="35" t="s">
        <v>857</v>
      </c>
      <c r="E529" s="35" t="n">
        <v>26</v>
      </c>
      <c r="F529" s="35" t="s">
        <v>234</v>
      </c>
      <c r="G529" s="35" t="s">
        <v>219</v>
      </c>
      <c r="H529" s="35" t="s">
        <v>210</v>
      </c>
      <c r="I529" s="35" t="s">
        <v>201</v>
      </c>
      <c r="J529" s="35" t="n">
        <v>6</v>
      </c>
      <c r="K529" s="65" t="n">
        <v>8151.02</v>
      </c>
      <c r="L529" s="65" t="n">
        <v>48906.12</v>
      </c>
      <c r="M529" s="66" t="n">
        <f aca="false">DATE(YEAR(B529),MONTH(B529),1)</f>
        <v>45901</v>
      </c>
      <c r="N529" s="35" t="str">
        <f aca="false">IF(G529="","Unknown",G529)</f>
        <v>Mumbai</v>
      </c>
      <c r="O529" s="35" t="str">
        <f aca="false">IF(E529="","Unknown",IF(E529&lt;=25,"18-25",IF(E529&lt;=35,"26-35",IF(E529&lt;=45,"36-45",IF(E529&lt;=55,"46-55","56-65")))))</f>
        <v>26-35</v>
      </c>
      <c r="P529" s="35" t="n">
        <f aca="false">COUNTIF($C$2:$C$1001,C529)</f>
        <v>1</v>
      </c>
      <c r="Q529" s="35" t="n">
        <f aca="false">IF(COUNTIF($C$2:C529,C529)=1,1,0)</f>
        <v>1</v>
      </c>
    </row>
    <row r="530" customFormat="false" ht="15" hidden="false" customHeight="false" outlineLevel="0" collapsed="false">
      <c r="A530" s="35" t="s">
        <v>1616</v>
      </c>
      <c r="B530" s="64" t="n">
        <v>46009</v>
      </c>
      <c r="C530" s="35" t="s">
        <v>1617</v>
      </c>
      <c r="D530" s="35" t="s">
        <v>1618</v>
      </c>
      <c r="E530" s="35" t="n">
        <v>42</v>
      </c>
      <c r="F530" s="35" t="s">
        <v>234</v>
      </c>
      <c r="G530" s="35" t="s">
        <v>223</v>
      </c>
      <c r="H530" s="35" t="s">
        <v>213</v>
      </c>
      <c r="I530" s="35" t="s">
        <v>204</v>
      </c>
      <c r="J530" s="35" t="n">
        <v>9</v>
      </c>
      <c r="K530" s="65" t="n">
        <v>12514.53</v>
      </c>
      <c r="L530" s="65" t="n">
        <v>112630.77</v>
      </c>
      <c r="M530" s="66" t="n">
        <f aca="false">DATE(YEAR(B530),MONTH(B530),1)</f>
        <v>45992</v>
      </c>
      <c r="N530" s="35" t="str">
        <f aca="false">IF(G530="","Unknown",G530)</f>
        <v>Gaya</v>
      </c>
      <c r="O530" s="35" t="str">
        <f aca="false">IF(E530="","Unknown",IF(E530&lt;=25,"18-25",IF(E530&lt;=35,"26-35",IF(E530&lt;=45,"36-45",IF(E530&lt;=55,"46-55","56-65")))))</f>
        <v>36-45</v>
      </c>
      <c r="P530" s="35" t="n">
        <f aca="false">COUNTIF($C$2:$C$1001,C530)</f>
        <v>1</v>
      </c>
      <c r="Q530" s="35" t="n">
        <f aca="false">IF(COUNTIF($C$2:C530,C530)=1,1,0)</f>
        <v>1</v>
      </c>
    </row>
    <row r="531" customFormat="false" ht="15" hidden="false" customHeight="false" outlineLevel="0" collapsed="false">
      <c r="A531" s="35" t="s">
        <v>1619</v>
      </c>
      <c r="B531" s="64" t="n">
        <v>45792</v>
      </c>
      <c r="C531" s="35" t="s">
        <v>1620</v>
      </c>
      <c r="D531" s="35" t="s">
        <v>839</v>
      </c>
      <c r="E531" s="35" t="n">
        <v>65</v>
      </c>
      <c r="F531" s="35" t="s">
        <v>234</v>
      </c>
      <c r="G531" s="35" t="s">
        <v>223</v>
      </c>
      <c r="H531" s="35" t="s">
        <v>211</v>
      </c>
      <c r="I531" s="35" t="s">
        <v>202</v>
      </c>
      <c r="J531" s="35" t="n">
        <v>1</v>
      </c>
      <c r="K531" s="65" t="n">
        <v>40250.63</v>
      </c>
      <c r="L531" s="65" t="n">
        <v>40250.63</v>
      </c>
      <c r="M531" s="66" t="n">
        <f aca="false">DATE(YEAR(B531),MONTH(B531),1)</f>
        <v>45778</v>
      </c>
      <c r="N531" s="35" t="str">
        <f aca="false">IF(G531="","Unknown",G531)</f>
        <v>Gaya</v>
      </c>
      <c r="O531" s="35" t="str">
        <f aca="false">IF(E531="","Unknown",IF(E531&lt;=25,"18-25",IF(E531&lt;=35,"26-35",IF(E531&lt;=45,"36-45",IF(E531&lt;=55,"46-55","56-65")))))</f>
        <v>56-65</v>
      </c>
      <c r="P531" s="35" t="n">
        <f aca="false">COUNTIF($C$2:$C$1001,C531)</f>
        <v>2</v>
      </c>
      <c r="Q531" s="35" t="n">
        <f aca="false">IF(COUNTIF($C$2:C531,C531)=1,1,0)</f>
        <v>1</v>
      </c>
    </row>
    <row r="532" customFormat="false" ht="15" hidden="false" customHeight="false" outlineLevel="0" collapsed="false">
      <c r="A532" s="35" t="s">
        <v>1621</v>
      </c>
      <c r="B532" s="64" t="n">
        <v>45920</v>
      </c>
      <c r="C532" s="35" t="s">
        <v>1622</v>
      </c>
      <c r="D532" s="35" t="s">
        <v>376</v>
      </c>
      <c r="E532" s="35" t="n">
        <v>45</v>
      </c>
      <c r="F532" s="35" t="s">
        <v>234</v>
      </c>
      <c r="G532" s="35" t="s">
        <v>221</v>
      </c>
      <c r="H532" s="35" t="s">
        <v>210</v>
      </c>
      <c r="I532" s="35" t="s">
        <v>201</v>
      </c>
      <c r="J532" s="35" t="n">
        <v>3</v>
      </c>
      <c r="K532" s="65" t="n">
        <v>48031.9</v>
      </c>
      <c r="L532" s="65" t="n">
        <v>144095.7</v>
      </c>
      <c r="M532" s="66" t="n">
        <f aca="false">DATE(YEAR(B532),MONTH(B532),1)</f>
        <v>45901</v>
      </c>
      <c r="N532" s="35" t="str">
        <f aca="false">IF(G532="","Unknown",G532)</f>
        <v>Delhi</v>
      </c>
      <c r="O532" s="35" t="str">
        <f aca="false">IF(E532="","Unknown",IF(E532&lt;=25,"18-25",IF(E532&lt;=35,"26-35",IF(E532&lt;=45,"36-45",IF(E532&lt;=55,"46-55","56-65")))))</f>
        <v>36-45</v>
      </c>
      <c r="P532" s="35" t="n">
        <f aca="false">COUNTIF($C$2:$C$1001,C532)</f>
        <v>1</v>
      </c>
      <c r="Q532" s="35" t="n">
        <f aca="false">IF(COUNTIF($C$2:C532,C532)=1,1,0)</f>
        <v>1</v>
      </c>
    </row>
    <row r="533" customFormat="false" ht="15" hidden="false" customHeight="false" outlineLevel="0" collapsed="false">
      <c r="A533" s="35" t="s">
        <v>1623</v>
      </c>
      <c r="B533" s="64" t="n">
        <v>45816</v>
      </c>
      <c r="C533" s="35" t="s">
        <v>1624</v>
      </c>
      <c r="D533" s="35" t="s">
        <v>456</v>
      </c>
      <c r="E533" s="35" t="n">
        <v>18</v>
      </c>
      <c r="F533" s="35" t="s">
        <v>235</v>
      </c>
      <c r="G533" s="35" t="s">
        <v>216</v>
      </c>
      <c r="H533" s="35" t="s">
        <v>211</v>
      </c>
      <c r="I533" s="35" t="s">
        <v>202</v>
      </c>
      <c r="J533" s="35" t="n">
        <v>8</v>
      </c>
      <c r="K533" s="65" t="n">
        <v>45296.32</v>
      </c>
      <c r="L533" s="65" t="n">
        <v>362370.56</v>
      </c>
      <c r="M533" s="66" t="n">
        <f aca="false">DATE(YEAR(B533),MONTH(B533),1)</f>
        <v>45809</v>
      </c>
      <c r="N533" s="35" t="str">
        <f aca="false">IF(G533="","Unknown",G533)</f>
        <v>Patna</v>
      </c>
      <c r="O533" s="35" t="str">
        <f aca="false">IF(E533="","Unknown",IF(E533&lt;=25,"18-25",IF(E533&lt;=35,"26-35",IF(E533&lt;=45,"36-45",IF(E533&lt;=55,"46-55","56-65")))))</f>
        <v>18-25</v>
      </c>
      <c r="P533" s="35" t="n">
        <f aca="false">COUNTIF($C$2:$C$1001,C533)</f>
        <v>1</v>
      </c>
      <c r="Q533" s="35" t="n">
        <f aca="false">IF(COUNTIF($C$2:C533,C533)=1,1,0)</f>
        <v>1</v>
      </c>
    </row>
    <row r="534" customFormat="false" ht="15" hidden="false" customHeight="false" outlineLevel="0" collapsed="false">
      <c r="A534" s="35" t="s">
        <v>1625</v>
      </c>
      <c r="B534" s="64" t="n">
        <v>45854</v>
      </c>
      <c r="C534" s="35" t="s">
        <v>1626</v>
      </c>
      <c r="D534" s="35" t="s">
        <v>776</v>
      </c>
      <c r="E534" s="35" t="n">
        <v>35</v>
      </c>
      <c r="F534" s="35" t="s">
        <v>235</v>
      </c>
      <c r="G534" s="35" t="s">
        <v>219</v>
      </c>
      <c r="H534" s="35" t="s">
        <v>209</v>
      </c>
      <c r="I534" s="35" t="s">
        <v>200</v>
      </c>
      <c r="J534" s="35" t="n">
        <v>5</v>
      </c>
      <c r="K534" s="65" t="n">
        <v>25036.53</v>
      </c>
      <c r="L534" s="65" t="n">
        <v>125182.65</v>
      </c>
      <c r="M534" s="66" t="n">
        <f aca="false">DATE(YEAR(B534),MONTH(B534),1)</f>
        <v>45839</v>
      </c>
      <c r="N534" s="35" t="str">
        <f aca="false">IF(G534="","Unknown",G534)</f>
        <v>Mumbai</v>
      </c>
      <c r="O534" s="35" t="str">
        <f aca="false">IF(E534="","Unknown",IF(E534&lt;=25,"18-25",IF(E534&lt;=35,"26-35",IF(E534&lt;=45,"36-45",IF(E534&lt;=55,"46-55","56-65")))))</f>
        <v>26-35</v>
      </c>
      <c r="P534" s="35" t="n">
        <f aca="false">COUNTIF($C$2:$C$1001,C534)</f>
        <v>1</v>
      </c>
      <c r="Q534" s="35" t="n">
        <f aca="false">IF(COUNTIF($C$2:C534,C534)=1,1,0)</f>
        <v>1</v>
      </c>
    </row>
    <row r="535" customFormat="false" ht="15" hidden="false" customHeight="false" outlineLevel="0" collapsed="false">
      <c r="A535" s="35" t="s">
        <v>1627</v>
      </c>
      <c r="B535" s="64" t="n">
        <v>45752</v>
      </c>
      <c r="C535" s="35" t="s">
        <v>1628</v>
      </c>
      <c r="D535" s="35" t="s">
        <v>818</v>
      </c>
      <c r="E535" s="35" t="n">
        <v>22</v>
      </c>
      <c r="F535" s="35" t="s">
        <v>235</v>
      </c>
      <c r="G535" s="35" t="s">
        <v>221</v>
      </c>
      <c r="H535" s="35" t="s">
        <v>211</v>
      </c>
      <c r="I535" s="35" t="s">
        <v>202</v>
      </c>
      <c r="J535" s="35" t="n">
        <v>5</v>
      </c>
      <c r="K535" s="65" t="n">
        <v>21466.01</v>
      </c>
      <c r="L535" s="65" t="n">
        <v>107330.05</v>
      </c>
      <c r="M535" s="66" t="n">
        <f aca="false">DATE(YEAR(B535),MONTH(B535),1)</f>
        <v>45748</v>
      </c>
      <c r="N535" s="35" t="str">
        <f aca="false">IF(G535="","Unknown",G535)</f>
        <v>Delhi</v>
      </c>
      <c r="O535" s="35" t="str">
        <f aca="false">IF(E535="","Unknown",IF(E535&lt;=25,"18-25",IF(E535&lt;=35,"26-35",IF(E535&lt;=45,"36-45",IF(E535&lt;=55,"46-55","56-65")))))</f>
        <v>18-25</v>
      </c>
      <c r="P535" s="35" t="n">
        <f aca="false">COUNTIF($C$2:$C$1001,C535)</f>
        <v>1</v>
      </c>
      <c r="Q535" s="35" t="n">
        <f aca="false">IF(COUNTIF($C$2:C535,C535)=1,1,0)</f>
        <v>1</v>
      </c>
    </row>
    <row r="536" customFormat="false" ht="15" hidden="false" customHeight="false" outlineLevel="0" collapsed="false">
      <c r="A536" s="35" t="s">
        <v>1629</v>
      </c>
      <c r="B536" s="64" t="n">
        <v>46005</v>
      </c>
      <c r="C536" s="35" t="s">
        <v>1630</v>
      </c>
      <c r="D536" s="35" t="s">
        <v>833</v>
      </c>
      <c r="E536" s="35" t="n">
        <v>57</v>
      </c>
      <c r="F536" s="35" t="s">
        <v>235</v>
      </c>
      <c r="G536" s="35" t="s">
        <v>218</v>
      </c>
      <c r="H536" s="35" t="s">
        <v>211</v>
      </c>
      <c r="I536" s="35" t="s">
        <v>202</v>
      </c>
      <c r="J536" s="35" t="n">
        <v>2</v>
      </c>
      <c r="K536" s="65" t="n">
        <v>28506.81</v>
      </c>
      <c r="L536" s="65" t="n">
        <v>57013.62</v>
      </c>
      <c r="M536" s="66" t="n">
        <f aca="false">DATE(YEAR(B536),MONTH(B536),1)</f>
        <v>45992</v>
      </c>
      <c r="N536" s="35" t="str">
        <f aca="false">IF(G536="","Unknown",G536)</f>
        <v>Bengaluru</v>
      </c>
      <c r="O536" s="35" t="str">
        <f aca="false">IF(E536="","Unknown",IF(E536&lt;=25,"18-25",IF(E536&lt;=35,"26-35",IF(E536&lt;=45,"36-45",IF(E536&lt;=55,"46-55","56-65")))))</f>
        <v>56-65</v>
      </c>
      <c r="P536" s="35" t="n">
        <f aca="false">COUNTIF($C$2:$C$1001,C536)</f>
        <v>1</v>
      </c>
      <c r="Q536" s="35" t="n">
        <f aca="false">IF(COUNTIF($C$2:C536,C536)=1,1,0)</f>
        <v>1</v>
      </c>
    </row>
    <row r="537" customFormat="false" ht="15" hidden="false" customHeight="false" outlineLevel="0" collapsed="false">
      <c r="A537" s="35" t="s">
        <v>1631</v>
      </c>
      <c r="B537" s="64" t="n">
        <v>45687</v>
      </c>
      <c r="C537" s="35" t="s">
        <v>1285</v>
      </c>
      <c r="D537" s="35" t="s">
        <v>514</v>
      </c>
      <c r="E537" s="35" t="n">
        <v>37</v>
      </c>
      <c r="F537" s="35" t="s">
        <v>235</v>
      </c>
      <c r="G537" s="35" t="s">
        <v>219</v>
      </c>
      <c r="H537" s="35" t="s">
        <v>212</v>
      </c>
      <c r="I537" s="35" t="s">
        <v>203</v>
      </c>
      <c r="J537" s="35" t="n">
        <v>6</v>
      </c>
      <c r="K537" s="65" t="n">
        <v>30698.79</v>
      </c>
      <c r="L537" s="65" t="n">
        <v>184192.74</v>
      </c>
      <c r="M537" s="66" t="n">
        <f aca="false">DATE(YEAR(B537),MONTH(B537),1)</f>
        <v>45658</v>
      </c>
      <c r="N537" s="35" t="str">
        <f aca="false">IF(G537="","Unknown",G537)</f>
        <v>Mumbai</v>
      </c>
      <c r="O537" s="35" t="str">
        <f aca="false">IF(E537="","Unknown",IF(E537&lt;=25,"18-25",IF(E537&lt;=35,"26-35",IF(E537&lt;=45,"36-45",IF(E537&lt;=55,"46-55","56-65")))))</f>
        <v>36-45</v>
      </c>
      <c r="P537" s="35" t="n">
        <f aca="false">COUNTIF($C$2:$C$1001,C537)</f>
        <v>2</v>
      </c>
      <c r="Q537" s="35" t="n">
        <f aca="false">IF(COUNTIF($C$2:C537,C537)=1,1,0)</f>
        <v>0</v>
      </c>
    </row>
    <row r="538" customFormat="false" ht="15" hidden="false" customHeight="false" outlineLevel="0" collapsed="false">
      <c r="A538" s="35" t="s">
        <v>1632</v>
      </c>
      <c r="B538" s="64" t="n">
        <v>45878</v>
      </c>
      <c r="C538" s="35" t="s">
        <v>1633</v>
      </c>
      <c r="D538" s="35" t="s">
        <v>1634</v>
      </c>
      <c r="E538" s="35" t="n">
        <v>56</v>
      </c>
      <c r="F538" s="35" t="s">
        <v>235</v>
      </c>
      <c r="G538" s="35" t="s">
        <v>222</v>
      </c>
      <c r="H538" s="35" t="s">
        <v>208</v>
      </c>
      <c r="I538" s="35" t="s">
        <v>200</v>
      </c>
      <c r="J538" s="35" t="n">
        <v>6</v>
      </c>
      <c r="K538" s="65" t="n">
        <v>3230.47</v>
      </c>
      <c r="L538" s="65" t="n">
        <v>19382.82</v>
      </c>
      <c r="M538" s="66" t="n">
        <f aca="false">DATE(YEAR(B538),MONTH(B538),1)</f>
        <v>45870</v>
      </c>
      <c r="N538" s="35" t="str">
        <f aca="false">IF(G538="","Unknown",G538)</f>
        <v>Pune</v>
      </c>
      <c r="O538" s="35" t="str">
        <f aca="false">IF(E538="","Unknown",IF(E538&lt;=25,"18-25",IF(E538&lt;=35,"26-35",IF(E538&lt;=45,"36-45",IF(E538&lt;=55,"46-55","56-65")))))</f>
        <v>56-65</v>
      </c>
      <c r="P538" s="35" t="n">
        <f aca="false">COUNTIF($C$2:$C$1001,C538)</f>
        <v>1</v>
      </c>
      <c r="Q538" s="35" t="n">
        <f aca="false">IF(COUNTIF($C$2:C538,C538)=1,1,0)</f>
        <v>1</v>
      </c>
    </row>
    <row r="539" customFormat="false" ht="15" hidden="false" customHeight="false" outlineLevel="0" collapsed="false">
      <c r="A539" s="35" t="s">
        <v>1635</v>
      </c>
      <c r="B539" s="64" t="n">
        <v>45947</v>
      </c>
      <c r="C539" s="35" t="s">
        <v>1636</v>
      </c>
      <c r="D539" s="35" t="s">
        <v>1637</v>
      </c>
      <c r="E539" s="35" t="n">
        <v>28</v>
      </c>
      <c r="F539" s="35" t="s">
        <v>234</v>
      </c>
      <c r="G539" s="35" t="s">
        <v>223</v>
      </c>
      <c r="H539" s="35" t="s">
        <v>211</v>
      </c>
      <c r="I539" s="35" t="s">
        <v>202</v>
      </c>
      <c r="J539" s="35" t="n">
        <v>6</v>
      </c>
      <c r="K539" s="65" t="n">
        <v>13606.65</v>
      </c>
      <c r="L539" s="65" t="n">
        <v>81639.9</v>
      </c>
      <c r="M539" s="66" t="n">
        <f aca="false">DATE(YEAR(B539),MONTH(B539),1)</f>
        <v>45931</v>
      </c>
      <c r="N539" s="35" t="str">
        <f aca="false">IF(G539="","Unknown",G539)</f>
        <v>Gaya</v>
      </c>
      <c r="O539" s="35" t="str">
        <f aca="false">IF(E539="","Unknown",IF(E539&lt;=25,"18-25",IF(E539&lt;=35,"26-35",IF(E539&lt;=45,"36-45",IF(E539&lt;=55,"46-55","56-65")))))</f>
        <v>26-35</v>
      </c>
      <c r="P539" s="35" t="n">
        <f aca="false">COUNTIF($C$2:$C$1001,C539)</f>
        <v>1</v>
      </c>
      <c r="Q539" s="35" t="n">
        <f aca="false">IF(COUNTIF($C$2:C539,C539)=1,1,0)</f>
        <v>1</v>
      </c>
    </row>
    <row r="540" customFormat="false" ht="15" hidden="false" customHeight="false" outlineLevel="0" collapsed="false">
      <c r="A540" s="35" t="s">
        <v>1638</v>
      </c>
      <c r="B540" s="64" t="n">
        <v>45820</v>
      </c>
      <c r="C540" s="35" t="s">
        <v>1639</v>
      </c>
      <c r="D540" s="35" t="s">
        <v>1640</v>
      </c>
      <c r="E540" s="35" t="n">
        <v>28</v>
      </c>
      <c r="F540" s="35" t="s">
        <v>234</v>
      </c>
      <c r="G540" s="35" t="s">
        <v>219</v>
      </c>
      <c r="H540" s="35" t="s">
        <v>211</v>
      </c>
      <c r="I540" s="35" t="s">
        <v>202</v>
      </c>
      <c r="J540" s="35" t="n">
        <v>6</v>
      </c>
      <c r="K540" s="65" t="n">
        <v>9146.39</v>
      </c>
      <c r="L540" s="65" t="n">
        <v>54878.34</v>
      </c>
      <c r="M540" s="66" t="n">
        <f aca="false">DATE(YEAR(B540),MONTH(B540),1)</f>
        <v>45809</v>
      </c>
      <c r="N540" s="35" t="str">
        <f aca="false">IF(G540="","Unknown",G540)</f>
        <v>Mumbai</v>
      </c>
      <c r="O540" s="35" t="str">
        <f aca="false">IF(E540="","Unknown",IF(E540&lt;=25,"18-25",IF(E540&lt;=35,"26-35",IF(E540&lt;=45,"36-45",IF(E540&lt;=55,"46-55","56-65")))))</f>
        <v>26-35</v>
      </c>
      <c r="P540" s="35" t="n">
        <f aca="false">COUNTIF($C$2:$C$1001,C540)</f>
        <v>1</v>
      </c>
      <c r="Q540" s="35" t="n">
        <f aca="false">IF(COUNTIF($C$2:C540,C540)=1,1,0)</f>
        <v>1</v>
      </c>
    </row>
    <row r="541" customFormat="false" ht="15" hidden="false" customHeight="false" outlineLevel="0" collapsed="false">
      <c r="A541" s="35" t="s">
        <v>1641</v>
      </c>
      <c r="B541" s="64" t="n">
        <v>45978</v>
      </c>
      <c r="C541" s="35" t="s">
        <v>1642</v>
      </c>
      <c r="D541" s="35" t="s">
        <v>815</v>
      </c>
      <c r="E541" s="35" t="n">
        <v>20</v>
      </c>
      <c r="F541" s="35" t="s">
        <v>234</v>
      </c>
      <c r="G541" s="35" t="s">
        <v>223</v>
      </c>
      <c r="H541" s="35" t="s">
        <v>211</v>
      </c>
      <c r="I541" s="35" t="s">
        <v>202</v>
      </c>
      <c r="J541" s="35" t="n">
        <v>9</v>
      </c>
      <c r="K541" s="65" t="n">
        <v>26764.87</v>
      </c>
      <c r="L541" s="65" t="n">
        <v>240883.83</v>
      </c>
      <c r="M541" s="66" t="n">
        <f aca="false">DATE(YEAR(B541),MONTH(B541),1)</f>
        <v>45962</v>
      </c>
      <c r="N541" s="35" t="str">
        <f aca="false">IF(G541="","Unknown",G541)</f>
        <v>Gaya</v>
      </c>
      <c r="O541" s="35" t="str">
        <f aca="false">IF(E541="","Unknown",IF(E541&lt;=25,"18-25",IF(E541&lt;=35,"26-35",IF(E541&lt;=45,"36-45",IF(E541&lt;=55,"46-55","56-65")))))</f>
        <v>18-25</v>
      </c>
      <c r="P541" s="35" t="n">
        <f aca="false">COUNTIF($C$2:$C$1001,C541)</f>
        <v>1</v>
      </c>
      <c r="Q541" s="35" t="n">
        <f aca="false">IF(COUNTIF($C$2:C541,C541)=1,1,0)</f>
        <v>1</v>
      </c>
    </row>
    <row r="542" customFormat="false" ht="15" hidden="false" customHeight="false" outlineLevel="0" collapsed="false">
      <c r="A542" s="35" t="s">
        <v>1643</v>
      </c>
      <c r="B542" s="64" t="n">
        <v>45916</v>
      </c>
      <c r="C542" s="35" t="s">
        <v>259</v>
      </c>
      <c r="D542" s="35" t="s">
        <v>1644</v>
      </c>
      <c r="E542" s="35" t="n">
        <v>26</v>
      </c>
      <c r="F542" s="35" t="s">
        <v>235</v>
      </c>
      <c r="G542" s="35" t="s">
        <v>216</v>
      </c>
      <c r="H542" s="35" t="s">
        <v>213</v>
      </c>
      <c r="I542" s="35" t="s">
        <v>204</v>
      </c>
      <c r="J542" s="35" t="n">
        <v>7</v>
      </c>
      <c r="K542" s="65" t="n">
        <v>6887.98</v>
      </c>
      <c r="L542" s="65" t="n">
        <v>48215.86</v>
      </c>
      <c r="M542" s="66" t="n">
        <f aca="false">DATE(YEAR(B542),MONTH(B542),1)</f>
        <v>45901</v>
      </c>
      <c r="N542" s="35" t="str">
        <f aca="false">IF(G542="","Unknown",G542)</f>
        <v>Patna</v>
      </c>
      <c r="O542" s="35" t="str">
        <f aca="false">IF(E542="","Unknown",IF(E542&lt;=25,"18-25",IF(E542&lt;=35,"26-35",IF(E542&lt;=45,"36-45",IF(E542&lt;=55,"46-55","56-65")))))</f>
        <v>26-35</v>
      </c>
      <c r="P542" s="35" t="n">
        <f aca="false">COUNTIF($C$2:$C$1001,C542)</f>
        <v>3</v>
      </c>
      <c r="Q542" s="35" t="n">
        <f aca="false">IF(COUNTIF($C$2:C542,C542)=1,1,0)</f>
        <v>0</v>
      </c>
    </row>
    <row r="543" customFormat="false" ht="15" hidden="false" customHeight="false" outlineLevel="0" collapsed="false">
      <c r="A543" s="35" t="s">
        <v>1645</v>
      </c>
      <c r="B543" s="64" t="n">
        <v>45838</v>
      </c>
      <c r="C543" s="35" t="s">
        <v>1646</v>
      </c>
      <c r="D543" s="35" t="s">
        <v>1647</v>
      </c>
      <c r="E543" s="35" t="n">
        <v>27</v>
      </c>
      <c r="F543" s="35" t="s">
        <v>234</v>
      </c>
      <c r="G543" s="35" t="s">
        <v>216</v>
      </c>
      <c r="H543" s="35" t="s">
        <v>211</v>
      </c>
      <c r="I543" s="35" t="s">
        <v>202</v>
      </c>
      <c r="J543" s="35" t="n">
        <v>6</v>
      </c>
      <c r="K543" s="65" t="n">
        <v>49889.13</v>
      </c>
      <c r="L543" s="65" t="n">
        <v>299334.78</v>
      </c>
      <c r="M543" s="66" t="n">
        <f aca="false">DATE(YEAR(B543),MONTH(B543),1)</f>
        <v>45809</v>
      </c>
      <c r="N543" s="35" t="str">
        <f aca="false">IF(G543="","Unknown",G543)</f>
        <v>Patna</v>
      </c>
      <c r="O543" s="35" t="str">
        <f aca="false">IF(E543="","Unknown",IF(E543&lt;=25,"18-25",IF(E543&lt;=35,"26-35",IF(E543&lt;=45,"36-45",IF(E543&lt;=55,"46-55","56-65")))))</f>
        <v>26-35</v>
      </c>
      <c r="P543" s="35" t="n">
        <f aca="false">COUNTIF($C$2:$C$1001,C543)</f>
        <v>1</v>
      </c>
      <c r="Q543" s="35" t="n">
        <f aca="false">IF(COUNTIF($C$2:C543,C543)=1,1,0)</f>
        <v>1</v>
      </c>
    </row>
    <row r="544" customFormat="false" ht="15" hidden="false" customHeight="false" outlineLevel="0" collapsed="false">
      <c r="A544" s="35" t="s">
        <v>1648</v>
      </c>
      <c r="B544" s="64" t="n">
        <v>45982</v>
      </c>
      <c r="C544" s="35" t="s">
        <v>1649</v>
      </c>
      <c r="D544" s="35" t="s">
        <v>1126</v>
      </c>
      <c r="E544" s="35" t="n">
        <v>33</v>
      </c>
      <c r="F544" s="35" t="s">
        <v>234</v>
      </c>
      <c r="G544" s="35" t="s">
        <v>223</v>
      </c>
      <c r="H544" s="35" t="s">
        <v>208</v>
      </c>
      <c r="I544" s="35" t="s">
        <v>200</v>
      </c>
      <c r="J544" s="35" t="n">
        <v>4</v>
      </c>
      <c r="K544" s="65" t="n">
        <v>39050.88</v>
      </c>
      <c r="L544" s="65" t="n">
        <v>156203.52</v>
      </c>
      <c r="M544" s="66" t="n">
        <f aca="false">DATE(YEAR(B544),MONTH(B544),1)</f>
        <v>45962</v>
      </c>
      <c r="N544" s="35" t="str">
        <f aca="false">IF(G544="","Unknown",G544)</f>
        <v>Gaya</v>
      </c>
      <c r="O544" s="35" t="str">
        <f aca="false">IF(E544="","Unknown",IF(E544&lt;=25,"18-25",IF(E544&lt;=35,"26-35",IF(E544&lt;=45,"36-45",IF(E544&lt;=55,"46-55","56-65")))))</f>
        <v>26-35</v>
      </c>
      <c r="P544" s="35" t="n">
        <f aca="false">COUNTIF($C$2:$C$1001,C544)</f>
        <v>1</v>
      </c>
      <c r="Q544" s="35" t="n">
        <f aca="false">IF(COUNTIF($C$2:C544,C544)=1,1,0)</f>
        <v>1</v>
      </c>
    </row>
    <row r="545" customFormat="false" ht="15" hidden="false" customHeight="false" outlineLevel="0" collapsed="false">
      <c r="A545" s="35" t="s">
        <v>1650</v>
      </c>
      <c r="B545" s="64" t="n">
        <v>45707</v>
      </c>
      <c r="C545" s="35" t="s">
        <v>1651</v>
      </c>
      <c r="D545" s="35" t="s">
        <v>1652</v>
      </c>
      <c r="E545" s="35" t="n">
        <v>20</v>
      </c>
      <c r="F545" s="35" t="s">
        <v>234</v>
      </c>
      <c r="G545" s="35" t="s">
        <v>222</v>
      </c>
      <c r="H545" s="35" t="s">
        <v>211</v>
      </c>
      <c r="I545" s="35" t="s">
        <v>202</v>
      </c>
      <c r="J545" s="35" t="n">
        <v>1</v>
      </c>
      <c r="K545" s="65" t="n">
        <v>14634.25</v>
      </c>
      <c r="L545" s="65" t="n">
        <v>14634.25</v>
      </c>
      <c r="M545" s="66" t="n">
        <f aca="false">DATE(YEAR(B545),MONTH(B545),1)</f>
        <v>45689</v>
      </c>
      <c r="N545" s="35" t="str">
        <f aca="false">IF(G545="","Unknown",G545)</f>
        <v>Pune</v>
      </c>
      <c r="O545" s="35" t="str">
        <f aca="false">IF(E545="","Unknown",IF(E545&lt;=25,"18-25",IF(E545&lt;=35,"26-35",IF(E545&lt;=45,"36-45",IF(E545&lt;=55,"46-55","56-65")))))</f>
        <v>18-25</v>
      </c>
      <c r="P545" s="35" t="n">
        <f aca="false">COUNTIF($C$2:$C$1001,C545)</f>
        <v>2</v>
      </c>
      <c r="Q545" s="35" t="n">
        <f aca="false">IF(COUNTIF($C$2:C545,C545)=1,1,0)</f>
        <v>1</v>
      </c>
    </row>
    <row r="546" customFormat="false" ht="15" hidden="false" customHeight="false" outlineLevel="0" collapsed="false">
      <c r="A546" s="35" t="s">
        <v>1653</v>
      </c>
      <c r="B546" s="64" t="n">
        <v>45712</v>
      </c>
      <c r="C546" s="35" t="s">
        <v>1654</v>
      </c>
      <c r="D546" s="35" t="s">
        <v>1139</v>
      </c>
      <c r="E546" s="35" t="n">
        <v>31</v>
      </c>
      <c r="F546" s="35" t="s">
        <v>234</v>
      </c>
      <c r="G546" s="35" t="s">
        <v>219</v>
      </c>
      <c r="H546" s="35" t="s">
        <v>209</v>
      </c>
      <c r="I546" s="35" t="s">
        <v>200</v>
      </c>
      <c r="J546" s="35" t="n">
        <v>7</v>
      </c>
      <c r="K546" s="65" t="n">
        <v>33006.89</v>
      </c>
      <c r="L546" s="65" t="n">
        <v>231048.23</v>
      </c>
      <c r="M546" s="66" t="n">
        <f aca="false">DATE(YEAR(B546),MONTH(B546),1)</f>
        <v>45689</v>
      </c>
      <c r="N546" s="35" t="str">
        <f aca="false">IF(G546="","Unknown",G546)</f>
        <v>Mumbai</v>
      </c>
      <c r="O546" s="35" t="str">
        <f aca="false">IF(E546="","Unknown",IF(E546&lt;=25,"18-25",IF(E546&lt;=35,"26-35",IF(E546&lt;=45,"36-45",IF(E546&lt;=55,"46-55","56-65")))))</f>
        <v>26-35</v>
      </c>
      <c r="P546" s="35" t="n">
        <f aca="false">COUNTIF($C$2:$C$1001,C546)</f>
        <v>1</v>
      </c>
      <c r="Q546" s="35" t="n">
        <f aca="false">IF(COUNTIF($C$2:C546,C546)=1,1,0)</f>
        <v>1</v>
      </c>
    </row>
    <row r="547" customFormat="false" ht="15" hidden="false" customHeight="false" outlineLevel="0" collapsed="false">
      <c r="A547" s="35" t="s">
        <v>1655</v>
      </c>
      <c r="B547" s="64" t="n">
        <v>46016</v>
      </c>
      <c r="C547" s="35" t="s">
        <v>1656</v>
      </c>
      <c r="D547" s="35" t="s">
        <v>1657</v>
      </c>
      <c r="E547" s="35" t="n">
        <v>38</v>
      </c>
      <c r="F547" s="35" t="s">
        <v>234</v>
      </c>
      <c r="G547" s="35" t="s">
        <v>216</v>
      </c>
      <c r="H547" s="35" t="s">
        <v>208</v>
      </c>
      <c r="I547" s="35" t="s">
        <v>200</v>
      </c>
      <c r="J547" s="35" t="n">
        <v>9</v>
      </c>
      <c r="K547" s="65" t="n">
        <v>46663.92</v>
      </c>
      <c r="L547" s="65" t="n">
        <v>419975.28</v>
      </c>
      <c r="M547" s="66" t="n">
        <f aca="false">DATE(YEAR(B547),MONTH(B547),1)</f>
        <v>45992</v>
      </c>
      <c r="N547" s="35" t="str">
        <f aca="false">IF(G547="","Unknown",G547)</f>
        <v>Patna</v>
      </c>
      <c r="O547" s="35" t="str">
        <f aca="false">IF(E547="","Unknown",IF(E547&lt;=25,"18-25",IF(E547&lt;=35,"26-35",IF(E547&lt;=45,"36-45",IF(E547&lt;=55,"46-55","56-65")))))</f>
        <v>36-45</v>
      </c>
      <c r="P547" s="35" t="n">
        <f aca="false">COUNTIF($C$2:$C$1001,C547)</f>
        <v>1</v>
      </c>
      <c r="Q547" s="35" t="n">
        <f aca="false">IF(COUNTIF($C$2:C547,C547)=1,1,0)</f>
        <v>1</v>
      </c>
    </row>
    <row r="548" customFormat="false" ht="15" hidden="false" customHeight="false" outlineLevel="0" collapsed="false">
      <c r="A548" s="35" t="s">
        <v>1658</v>
      </c>
      <c r="B548" s="64" t="n">
        <v>46001</v>
      </c>
      <c r="C548" s="35" t="s">
        <v>1620</v>
      </c>
      <c r="D548" s="35" t="s">
        <v>1054</v>
      </c>
      <c r="E548" s="35" t="n">
        <v>37</v>
      </c>
      <c r="F548" s="35" t="s">
        <v>235</v>
      </c>
      <c r="G548" s="35" t="s">
        <v>222</v>
      </c>
      <c r="H548" s="35" t="s">
        <v>213</v>
      </c>
      <c r="I548" s="35" t="s">
        <v>204</v>
      </c>
      <c r="J548" s="35" t="n">
        <v>9</v>
      </c>
      <c r="K548" s="65" t="n">
        <v>3626.27</v>
      </c>
      <c r="L548" s="65" t="n">
        <v>32636.43</v>
      </c>
      <c r="M548" s="66" t="n">
        <f aca="false">DATE(YEAR(B548),MONTH(B548),1)</f>
        <v>45992</v>
      </c>
      <c r="N548" s="35" t="str">
        <f aca="false">IF(G548="","Unknown",G548)</f>
        <v>Pune</v>
      </c>
      <c r="O548" s="35" t="str">
        <f aca="false">IF(E548="","Unknown",IF(E548&lt;=25,"18-25",IF(E548&lt;=35,"26-35",IF(E548&lt;=45,"36-45",IF(E548&lt;=55,"46-55","56-65")))))</f>
        <v>36-45</v>
      </c>
      <c r="P548" s="35" t="n">
        <f aca="false">COUNTIF($C$2:$C$1001,C548)</f>
        <v>2</v>
      </c>
      <c r="Q548" s="35" t="n">
        <f aca="false">IF(COUNTIF($C$2:C548,C548)=1,1,0)</f>
        <v>0</v>
      </c>
    </row>
    <row r="549" customFormat="false" ht="15" hidden="false" customHeight="false" outlineLevel="0" collapsed="false">
      <c r="A549" s="35" t="s">
        <v>1659</v>
      </c>
      <c r="B549" s="64" t="n">
        <v>45808</v>
      </c>
      <c r="C549" s="35" t="s">
        <v>1660</v>
      </c>
      <c r="D549" s="35" t="s">
        <v>1661</v>
      </c>
      <c r="E549" s="35" t="n">
        <v>64</v>
      </c>
      <c r="F549" s="35" t="s">
        <v>234</v>
      </c>
      <c r="G549" s="35" t="s">
        <v>220</v>
      </c>
      <c r="H549" s="35" t="s">
        <v>210</v>
      </c>
      <c r="I549" s="35" t="s">
        <v>201</v>
      </c>
      <c r="J549" s="35" t="n">
        <v>8</v>
      </c>
      <c r="K549" s="65" t="n">
        <v>13184.14</v>
      </c>
      <c r="L549" s="65" t="n">
        <v>105473.12</v>
      </c>
      <c r="M549" s="66" t="n">
        <f aca="false">DATE(YEAR(B549),MONTH(B549),1)</f>
        <v>45778</v>
      </c>
      <c r="N549" s="35" t="str">
        <f aca="false">IF(G549="","Unknown",G549)</f>
        <v>Hyderabad</v>
      </c>
      <c r="O549" s="35" t="str">
        <f aca="false">IF(E549="","Unknown",IF(E549&lt;=25,"18-25",IF(E549&lt;=35,"26-35",IF(E549&lt;=45,"36-45",IF(E549&lt;=55,"46-55","56-65")))))</f>
        <v>56-65</v>
      </c>
      <c r="P549" s="35" t="n">
        <f aca="false">COUNTIF($C$2:$C$1001,C549)</f>
        <v>1</v>
      </c>
      <c r="Q549" s="35" t="n">
        <f aca="false">IF(COUNTIF($C$2:C549,C549)=1,1,0)</f>
        <v>1</v>
      </c>
    </row>
    <row r="550" customFormat="false" ht="15" hidden="false" customHeight="false" outlineLevel="0" collapsed="false">
      <c r="A550" s="35" t="s">
        <v>1662</v>
      </c>
      <c r="B550" s="64" t="n">
        <v>45743</v>
      </c>
      <c r="C550" s="35" t="s">
        <v>1663</v>
      </c>
      <c r="D550" s="35" t="s">
        <v>1664</v>
      </c>
      <c r="E550" s="35"/>
      <c r="F550" s="35" t="s">
        <v>234</v>
      </c>
      <c r="G550" s="35" t="s">
        <v>222</v>
      </c>
      <c r="H550" s="35" t="s">
        <v>211</v>
      </c>
      <c r="I550" s="35" t="s">
        <v>202</v>
      </c>
      <c r="J550" s="35" t="n">
        <v>5</v>
      </c>
      <c r="K550" s="65" t="n">
        <v>41509.54</v>
      </c>
      <c r="L550" s="65" t="n">
        <v>207547.7</v>
      </c>
      <c r="M550" s="66" t="n">
        <f aca="false">DATE(YEAR(B550),MONTH(B550),1)</f>
        <v>45717</v>
      </c>
      <c r="N550" s="35" t="str">
        <f aca="false">IF(G550="","Unknown",G550)</f>
        <v>Pune</v>
      </c>
      <c r="O550" s="35" t="str">
        <f aca="false">IF(E550="","Unknown",IF(E550&lt;=25,"18-25",IF(E550&lt;=35,"26-35",IF(E550&lt;=45,"36-45",IF(E550&lt;=55,"46-55","56-65")))))</f>
        <v>Unknown</v>
      </c>
      <c r="P550" s="35" t="n">
        <f aca="false">COUNTIF($C$2:$C$1001,C550)</f>
        <v>1</v>
      </c>
      <c r="Q550" s="35" t="n">
        <f aca="false">IF(COUNTIF($C$2:C550,C550)=1,1,0)</f>
        <v>1</v>
      </c>
    </row>
    <row r="551" customFormat="false" ht="15" hidden="false" customHeight="false" outlineLevel="0" collapsed="false">
      <c r="A551" s="35" t="s">
        <v>1665</v>
      </c>
      <c r="B551" s="64" t="n">
        <v>45926</v>
      </c>
      <c r="C551" s="35" t="s">
        <v>1666</v>
      </c>
      <c r="D551" s="35" t="s">
        <v>1667</v>
      </c>
      <c r="E551" s="35" t="n">
        <v>37</v>
      </c>
      <c r="F551" s="35" t="s">
        <v>234</v>
      </c>
      <c r="G551" s="35" t="s">
        <v>218</v>
      </c>
      <c r="H551" s="35" t="s">
        <v>208</v>
      </c>
      <c r="I551" s="35" t="s">
        <v>200</v>
      </c>
      <c r="J551" s="35" t="n">
        <v>2</v>
      </c>
      <c r="K551" s="65" t="n">
        <v>27044.74</v>
      </c>
      <c r="L551" s="65" t="n">
        <v>54089.48</v>
      </c>
      <c r="M551" s="66" t="n">
        <f aca="false">DATE(YEAR(B551),MONTH(B551),1)</f>
        <v>45901</v>
      </c>
      <c r="N551" s="35" t="str">
        <f aca="false">IF(G551="","Unknown",G551)</f>
        <v>Bengaluru</v>
      </c>
      <c r="O551" s="35" t="str">
        <f aca="false">IF(E551="","Unknown",IF(E551&lt;=25,"18-25",IF(E551&lt;=35,"26-35",IF(E551&lt;=45,"36-45",IF(E551&lt;=55,"46-55","56-65")))))</f>
        <v>36-45</v>
      </c>
      <c r="P551" s="35" t="n">
        <f aca="false">COUNTIF($C$2:$C$1001,C551)</f>
        <v>2</v>
      </c>
      <c r="Q551" s="35" t="n">
        <f aca="false">IF(COUNTIF($C$2:C551,C551)=1,1,0)</f>
        <v>1</v>
      </c>
    </row>
    <row r="552" customFormat="false" ht="15" hidden="false" customHeight="false" outlineLevel="0" collapsed="false">
      <c r="A552" s="35" t="s">
        <v>1668</v>
      </c>
      <c r="B552" s="64" t="n">
        <v>45816</v>
      </c>
      <c r="C552" s="35" t="s">
        <v>1669</v>
      </c>
      <c r="D552" s="35" t="s">
        <v>1670</v>
      </c>
      <c r="E552" s="35" t="n">
        <v>60</v>
      </c>
      <c r="F552" s="35" t="s">
        <v>234</v>
      </c>
      <c r="G552" s="35" t="s">
        <v>217</v>
      </c>
      <c r="H552" s="35" t="s">
        <v>210</v>
      </c>
      <c r="I552" s="35" t="s">
        <v>201</v>
      </c>
      <c r="J552" s="35" t="n">
        <v>2</v>
      </c>
      <c r="K552" s="65" t="n">
        <v>35113.98</v>
      </c>
      <c r="L552" s="65" t="n">
        <v>70227.96</v>
      </c>
      <c r="M552" s="66" t="n">
        <f aca="false">DATE(YEAR(B552),MONTH(B552),1)</f>
        <v>45809</v>
      </c>
      <c r="N552" s="35" t="str">
        <f aca="false">IF(G552="","Unknown",G552)</f>
        <v>Kolkata</v>
      </c>
      <c r="O552" s="35" t="str">
        <f aca="false">IF(E552="","Unknown",IF(E552&lt;=25,"18-25",IF(E552&lt;=35,"26-35",IF(E552&lt;=45,"36-45",IF(E552&lt;=55,"46-55","56-65")))))</f>
        <v>56-65</v>
      </c>
      <c r="P552" s="35" t="n">
        <f aca="false">COUNTIF($C$2:$C$1001,C552)</f>
        <v>1</v>
      </c>
      <c r="Q552" s="35" t="n">
        <f aca="false">IF(COUNTIF($C$2:C552,C552)=1,1,0)</f>
        <v>1</v>
      </c>
    </row>
    <row r="553" customFormat="false" ht="15" hidden="false" customHeight="false" outlineLevel="0" collapsed="false">
      <c r="A553" s="35" t="s">
        <v>1671</v>
      </c>
      <c r="B553" s="64" t="n">
        <v>46016</v>
      </c>
      <c r="C553" s="35" t="s">
        <v>1672</v>
      </c>
      <c r="D553" s="35" t="s">
        <v>991</v>
      </c>
      <c r="E553" s="35" t="n">
        <v>36</v>
      </c>
      <c r="F553" s="35" t="s">
        <v>235</v>
      </c>
      <c r="G553" s="35" t="s">
        <v>218</v>
      </c>
      <c r="H553" s="35" t="s">
        <v>211</v>
      </c>
      <c r="I553" s="35" t="s">
        <v>202</v>
      </c>
      <c r="J553" s="35" t="n">
        <v>5</v>
      </c>
      <c r="K553" s="65" t="n">
        <v>38032.02</v>
      </c>
      <c r="L553" s="65" t="n">
        <v>190160.1</v>
      </c>
      <c r="M553" s="66" t="n">
        <f aca="false">DATE(YEAR(B553),MONTH(B553),1)</f>
        <v>45992</v>
      </c>
      <c r="N553" s="35" t="str">
        <f aca="false">IF(G553="","Unknown",G553)</f>
        <v>Bengaluru</v>
      </c>
      <c r="O553" s="35" t="str">
        <f aca="false">IF(E553="","Unknown",IF(E553&lt;=25,"18-25",IF(E553&lt;=35,"26-35",IF(E553&lt;=45,"36-45",IF(E553&lt;=55,"46-55","56-65")))))</f>
        <v>36-45</v>
      </c>
      <c r="P553" s="35" t="n">
        <f aca="false">COUNTIF($C$2:$C$1001,C553)</f>
        <v>1</v>
      </c>
      <c r="Q553" s="35" t="n">
        <f aca="false">IF(COUNTIF($C$2:C553,C553)=1,1,0)</f>
        <v>1</v>
      </c>
    </row>
    <row r="554" customFormat="false" ht="15" hidden="false" customHeight="false" outlineLevel="0" collapsed="false">
      <c r="A554" s="35" t="s">
        <v>1673</v>
      </c>
      <c r="B554" s="64" t="n">
        <v>45841</v>
      </c>
      <c r="C554" s="35" t="s">
        <v>1674</v>
      </c>
      <c r="D554" s="35" t="s">
        <v>1060</v>
      </c>
      <c r="E554" s="35" t="n">
        <v>35</v>
      </c>
      <c r="F554" s="35" t="s">
        <v>234</v>
      </c>
      <c r="G554" s="35" t="s">
        <v>219</v>
      </c>
      <c r="H554" s="35" t="s">
        <v>209</v>
      </c>
      <c r="I554" s="35" t="s">
        <v>200</v>
      </c>
      <c r="J554" s="35" t="n">
        <v>9</v>
      </c>
      <c r="K554" s="65" t="n">
        <v>37614.58</v>
      </c>
      <c r="L554" s="65" t="n">
        <v>338531.22</v>
      </c>
      <c r="M554" s="66" t="n">
        <f aca="false">DATE(YEAR(B554),MONTH(B554),1)</f>
        <v>45839</v>
      </c>
      <c r="N554" s="35" t="str">
        <f aca="false">IF(G554="","Unknown",G554)</f>
        <v>Mumbai</v>
      </c>
      <c r="O554" s="35" t="str">
        <f aca="false">IF(E554="","Unknown",IF(E554&lt;=25,"18-25",IF(E554&lt;=35,"26-35",IF(E554&lt;=45,"36-45",IF(E554&lt;=55,"46-55","56-65")))))</f>
        <v>26-35</v>
      </c>
      <c r="P554" s="35" t="n">
        <f aca="false">COUNTIF($C$2:$C$1001,C554)</f>
        <v>1</v>
      </c>
      <c r="Q554" s="35" t="n">
        <f aca="false">IF(COUNTIF($C$2:C554,C554)=1,1,0)</f>
        <v>1</v>
      </c>
    </row>
    <row r="555" customFormat="false" ht="15" hidden="false" customHeight="false" outlineLevel="0" collapsed="false">
      <c r="A555" s="35" t="s">
        <v>1675</v>
      </c>
      <c r="B555" s="64" t="n">
        <v>45685</v>
      </c>
      <c r="C555" s="35" t="s">
        <v>1676</v>
      </c>
      <c r="D555" s="35" t="s">
        <v>1677</v>
      </c>
      <c r="E555" s="35" t="n">
        <v>60</v>
      </c>
      <c r="F555" s="35" t="s">
        <v>234</v>
      </c>
      <c r="G555" s="35" t="s">
        <v>223</v>
      </c>
      <c r="H555" s="35" t="s">
        <v>210</v>
      </c>
      <c r="I555" s="35" t="s">
        <v>201</v>
      </c>
      <c r="J555" s="35" t="n">
        <v>4</v>
      </c>
      <c r="K555" s="65" t="n">
        <v>18505.56</v>
      </c>
      <c r="L555" s="65" t="n">
        <v>74022.24</v>
      </c>
      <c r="M555" s="66" t="n">
        <f aca="false">DATE(YEAR(B555),MONTH(B555),1)</f>
        <v>45658</v>
      </c>
      <c r="N555" s="35" t="str">
        <f aca="false">IF(G555="","Unknown",G555)</f>
        <v>Gaya</v>
      </c>
      <c r="O555" s="35" t="str">
        <f aca="false">IF(E555="","Unknown",IF(E555&lt;=25,"18-25",IF(E555&lt;=35,"26-35",IF(E555&lt;=45,"36-45",IF(E555&lt;=55,"46-55","56-65")))))</f>
        <v>56-65</v>
      </c>
      <c r="P555" s="35" t="n">
        <f aca="false">COUNTIF($C$2:$C$1001,C555)</f>
        <v>1</v>
      </c>
      <c r="Q555" s="35" t="n">
        <f aca="false">IF(COUNTIF($C$2:C555,C555)=1,1,0)</f>
        <v>1</v>
      </c>
    </row>
    <row r="556" customFormat="false" ht="15" hidden="false" customHeight="false" outlineLevel="0" collapsed="false">
      <c r="A556" s="35" t="s">
        <v>1678</v>
      </c>
      <c r="B556" s="64" t="n">
        <v>46000</v>
      </c>
      <c r="C556" s="35" t="s">
        <v>259</v>
      </c>
      <c r="D556" s="35" t="s">
        <v>1679</v>
      </c>
      <c r="E556" s="35" t="n">
        <v>21</v>
      </c>
      <c r="F556" s="35" t="s">
        <v>234</v>
      </c>
      <c r="G556" s="35" t="s">
        <v>220</v>
      </c>
      <c r="H556" s="35" t="s">
        <v>209</v>
      </c>
      <c r="I556" s="35" t="s">
        <v>200</v>
      </c>
      <c r="J556" s="35" t="n">
        <v>6</v>
      </c>
      <c r="K556" s="65" t="n">
        <v>21017.46</v>
      </c>
      <c r="L556" s="65" t="n">
        <v>126104.76</v>
      </c>
      <c r="M556" s="66" t="n">
        <f aca="false">DATE(YEAR(B556),MONTH(B556),1)</f>
        <v>45992</v>
      </c>
      <c r="N556" s="35" t="str">
        <f aca="false">IF(G556="","Unknown",G556)</f>
        <v>Hyderabad</v>
      </c>
      <c r="O556" s="35" t="str">
        <f aca="false">IF(E556="","Unknown",IF(E556&lt;=25,"18-25",IF(E556&lt;=35,"26-35",IF(E556&lt;=45,"36-45",IF(E556&lt;=55,"46-55","56-65")))))</f>
        <v>18-25</v>
      </c>
      <c r="P556" s="35" t="n">
        <f aca="false">COUNTIF($C$2:$C$1001,C556)</f>
        <v>3</v>
      </c>
      <c r="Q556" s="35" t="n">
        <f aca="false">IF(COUNTIF($C$2:C556,C556)=1,1,0)</f>
        <v>0</v>
      </c>
    </row>
    <row r="557" customFormat="false" ht="15" hidden="false" customHeight="false" outlineLevel="0" collapsed="false">
      <c r="A557" s="35" t="s">
        <v>1680</v>
      </c>
      <c r="B557" s="64" t="n">
        <v>45721</v>
      </c>
      <c r="C557" s="35" t="s">
        <v>1681</v>
      </c>
      <c r="D557" s="35" t="s">
        <v>1682</v>
      </c>
      <c r="E557" s="35" t="n">
        <v>18</v>
      </c>
      <c r="F557" s="35" t="s">
        <v>235</v>
      </c>
      <c r="G557" s="35" t="s">
        <v>220</v>
      </c>
      <c r="H557" s="35" t="s">
        <v>210</v>
      </c>
      <c r="I557" s="35" t="s">
        <v>201</v>
      </c>
      <c r="J557" s="35" t="n">
        <v>8</v>
      </c>
      <c r="K557" s="65" t="n">
        <v>1204.93</v>
      </c>
      <c r="L557" s="65" t="n">
        <v>9639.44</v>
      </c>
      <c r="M557" s="66" t="n">
        <f aca="false">DATE(YEAR(B557),MONTH(B557),1)</f>
        <v>45717</v>
      </c>
      <c r="N557" s="35" t="str">
        <f aca="false">IF(G557="","Unknown",G557)</f>
        <v>Hyderabad</v>
      </c>
      <c r="O557" s="35" t="str">
        <f aca="false">IF(E557="","Unknown",IF(E557&lt;=25,"18-25",IF(E557&lt;=35,"26-35",IF(E557&lt;=45,"36-45",IF(E557&lt;=55,"46-55","56-65")))))</f>
        <v>18-25</v>
      </c>
      <c r="P557" s="35" t="n">
        <f aca="false">COUNTIF($C$2:$C$1001,C557)</f>
        <v>1</v>
      </c>
      <c r="Q557" s="35" t="n">
        <f aca="false">IF(COUNTIF($C$2:C557,C557)=1,1,0)</f>
        <v>1</v>
      </c>
    </row>
    <row r="558" customFormat="false" ht="15" hidden="false" customHeight="false" outlineLevel="0" collapsed="false">
      <c r="A558" s="35" t="s">
        <v>1683</v>
      </c>
      <c r="B558" s="64" t="n">
        <v>45932</v>
      </c>
      <c r="C558" s="35" t="s">
        <v>1684</v>
      </c>
      <c r="D558" s="35" t="s">
        <v>356</v>
      </c>
      <c r="E558" s="35" t="n">
        <v>35</v>
      </c>
      <c r="F558" s="35" t="s">
        <v>234</v>
      </c>
      <c r="G558" s="35" t="s">
        <v>221</v>
      </c>
      <c r="H558" s="35" t="s">
        <v>211</v>
      </c>
      <c r="I558" s="35" t="s">
        <v>202</v>
      </c>
      <c r="J558" s="35" t="n">
        <v>7</v>
      </c>
      <c r="K558" s="65" t="n">
        <v>36390.58</v>
      </c>
      <c r="L558" s="65" t="n">
        <v>254734.06</v>
      </c>
      <c r="M558" s="66" t="n">
        <f aca="false">DATE(YEAR(B558),MONTH(B558),1)</f>
        <v>45931</v>
      </c>
      <c r="N558" s="35" t="str">
        <f aca="false">IF(G558="","Unknown",G558)</f>
        <v>Delhi</v>
      </c>
      <c r="O558" s="35" t="str">
        <f aca="false">IF(E558="","Unknown",IF(E558&lt;=25,"18-25",IF(E558&lt;=35,"26-35",IF(E558&lt;=45,"36-45",IF(E558&lt;=55,"46-55","56-65")))))</f>
        <v>26-35</v>
      </c>
      <c r="P558" s="35" t="n">
        <f aca="false">COUNTIF($C$2:$C$1001,C558)</f>
        <v>1</v>
      </c>
      <c r="Q558" s="35" t="n">
        <f aca="false">IF(COUNTIF($C$2:C558,C558)=1,1,0)</f>
        <v>1</v>
      </c>
    </row>
    <row r="559" customFormat="false" ht="15" hidden="false" customHeight="false" outlineLevel="0" collapsed="false">
      <c r="A559" s="35" t="s">
        <v>1685</v>
      </c>
      <c r="B559" s="64" t="n">
        <v>45786</v>
      </c>
      <c r="C559" s="35" t="s">
        <v>1686</v>
      </c>
      <c r="D559" s="35" t="s">
        <v>1687</v>
      </c>
      <c r="E559" s="35" t="n">
        <v>22</v>
      </c>
      <c r="F559" s="35" t="s">
        <v>234</v>
      </c>
      <c r="G559" s="35" t="s">
        <v>221</v>
      </c>
      <c r="H559" s="35" t="s">
        <v>209</v>
      </c>
      <c r="I559" s="35" t="s">
        <v>200</v>
      </c>
      <c r="J559" s="35" t="n">
        <v>2</v>
      </c>
      <c r="K559" s="65" t="n">
        <v>17302.3</v>
      </c>
      <c r="L559" s="65" t="n">
        <v>34604.6</v>
      </c>
      <c r="M559" s="66" t="n">
        <f aca="false">DATE(YEAR(B559),MONTH(B559),1)</f>
        <v>45778</v>
      </c>
      <c r="N559" s="35" t="str">
        <f aca="false">IF(G559="","Unknown",G559)</f>
        <v>Delhi</v>
      </c>
      <c r="O559" s="35" t="str">
        <f aca="false">IF(E559="","Unknown",IF(E559&lt;=25,"18-25",IF(E559&lt;=35,"26-35",IF(E559&lt;=45,"36-45",IF(E559&lt;=55,"46-55","56-65")))))</f>
        <v>18-25</v>
      </c>
      <c r="P559" s="35" t="n">
        <f aca="false">COUNTIF($C$2:$C$1001,C559)</f>
        <v>2</v>
      </c>
      <c r="Q559" s="35" t="n">
        <f aca="false">IF(COUNTIF($C$2:C559,C559)=1,1,0)</f>
        <v>1</v>
      </c>
    </row>
    <row r="560" customFormat="false" ht="15" hidden="false" customHeight="false" outlineLevel="0" collapsed="false">
      <c r="A560" s="35" t="s">
        <v>1688</v>
      </c>
      <c r="B560" s="64" t="n">
        <v>45952</v>
      </c>
      <c r="C560" s="35" t="s">
        <v>1689</v>
      </c>
      <c r="D560" s="35" t="s">
        <v>1229</v>
      </c>
      <c r="E560" s="35" t="n">
        <v>21</v>
      </c>
      <c r="F560" s="35" t="s">
        <v>234</v>
      </c>
      <c r="G560" s="35" t="s">
        <v>217</v>
      </c>
      <c r="H560" s="35" t="s">
        <v>209</v>
      </c>
      <c r="I560" s="35" t="s">
        <v>200</v>
      </c>
      <c r="J560" s="35" t="n">
        <v>10</v>
      </c>
      <c r="K560" s="65" t="n">
        <v>6613.42</v>
      </c>
      <c r="L560" s="65" t="n">
        <v>66134.2</v>
      </c>
      <c r="M560" s="66" t="n">
        <f aca="false">DATE(YEAR(B560),MONTH(B560),1)</f>
        <v>45931</v>
      </c>
      <c r="N560" s="35" t="str">
        <f aca="false">IF(G560="","Unknown",G560)</f>
        <v>Kolkata</v>
      </c>
      <c r="O560" s="35" t="str">
        <f aca="false">IF(E560="","Unknown",IF(E560&lt;=25,"18-25",IF(E560&lt;=35,"26-35",IF(E560&lt;=45,"36-45",IF(E560&lt;=55,"46-55","56-65")))))</f>
        <v>18-25</v>
      </c>
      <c r="P560" s="35" t="n">
        <f aca="false">COUNTIF($C$2:$C$1001,C560)</f>
        <v>1</v>
      </c>
      <c r="Q560" s="35" t="n">
        <f aca="false">IF(COUNTIF($C$2:C560,C560)=1,1,0)</f>
        <v>1</v>
      </c>
    </row>
    <row r="561" customFormat="false" ht="15" hidden="false" customHeight="false" outlineLevel="0" collapsed="false">
      <c r="A561" s="35" t="s">
        <v>1690</v>
      </c>
      <c r="B561" s="64" t="n">
        <v>45668</v>
      </c>
      <c r="C561" s="35" t="s">
        <v>1691</v>
      </c>
      <c r="D561" s="35" t="s">
        <v>1692</v>
      </c>
      <c r="E561" s="35" t="n">
        <v>34</v>
      </c>
      <c r="F561" s="35" t="s">
        <v>235</v>
      </c>
      <c r="G561" s="35" t="s">
        <v>217</v>
      </c>
      <c r="H561" s="35" t="s">
        <v>209</v>
      </c>
      <c r="I561" s="35" t="s">
        <v>200</v>
      </c>
      <c r="J561" s="35" t="n">
        <v>5</v>
      </c>
      <c r="K561" s="65" t="n">
        <v>28280.37</v>
      </c>
      <c r="L561" s="65" t="n">
        <v>141401.85</v>
      </c>
      <c r="M561" s="66" t="n">
        <f aca="false">DATE(YEAR(B561),MONTH(B561),1)</f>
        <v>45658</v>
      </c>
      <c r="N561" s="35" t="str">
        <f aca="false">IF(G561="","Unknown",G561)</f>
        <v>Kolkata</v>
      </c>
      <c r="O561" s="35" t="str">
        <f aca="false">IF(E561="","Unknown",IF(E561&lt;=25,"18-25",IF(E561&lt;=35,"26-35",IF(E561&lt;=45,"36-45",IF(E561&lt;=55,"46-55","56-65")))))</f>
        <v>26-35</v>
      </c>
      <c r="P561" s="35" t="n">
        <f aca="false">COUNTIF($C$2:$C$1001,C561)</f>
        <v>1</v>
      </c>
      <c r="Q561" s="35" t="n">
        <f aca="false">IF(COUNTIF($C$2:C561,C561)=1,1,0)</f>
        <v>1</v>
      </c>
    </row>
    <row r="562" customFormat="false" ht="15" hidden="false" customHeight="false" outlineLevel="0" collapsed="false">
      <c r="A562" s="35" t="s">
        <v>1693</v>
      </c>
      <c r="B562" s="64" t="n">
        <v>45907</v>
      </c>
      <c r="C562" s="35" t="s">
        <v>569</v>
      </c>
      <c r="D562" s="35" t="s">
        <v>1694</v>
      </c>
      <c r="E562" s="35" t="n">
        <v>56</v>
      </c>
      <c r="F562" s="35" t="s">
        <v>235</v>
      </c>
      <c r="G562" s="35" t="s">
        <v>221</v>
      </c>
      <c r="H562" s="35" t="s">
        <v>210</v>
      </c>
      <c r="I562" s="35" t="s">
        <v>201</v>
      </c>
      <c r="J562" s="35" t="n">
        <v>1</v>
      </c>
      <c r="K562" s="65" t="n">
        <v>6150.86</v>
      </c>
      <c r="L562" s="65" t="n">
        <v>6150.86</v>
      </c>
      <c r="M562" s="66" t="n">
        <f aca="false">DATE(YEAR(B562),MONTH(B562),1)</f>
        <v>45901</v>
      </c>
      <c r="N562" s="35" t="str">
        <f aca="false">IF(G562="","Unknown",G562)</f>
        <v>Delhi</v>
      </c>
      <c r="O562" s="35" t="str">
        <f aca="false">IF(E562="","Unknown",IF(E562&lt;=25,"18-25",IF(E562&lt;=35,"26-35",IF(E562&lt;=45,"36-45",IF(E562&lt;=55,"46-55","56-65")))))</f>
        <v>56-65</v>
      </c>
      <c r="P562" s="35" t="n">
        <f aca="false">COUNTIF($C$2:$C$1001,C562)</f>
        <v>2</v>
      </c>
      <c r="Q562" s="35" t="n">
        <f aca="false">IF(COUNTIF($C$2:C562,C562)=1,1,0)</f>
        <v>0</v>
      </c>
    </row>
    <row r="563" customFormat="false" ht="15" hidden="false" customHeight="false" outlineLevel="0" collapsed="false">
      <c r="A563" s="35" t="s">
        <v>1695</v>
      </c>
      <c r="B563" s="64" t="n">
        <v>46020</v>
      </c>
      <c r="C563" s="35" t="s">
        <v>1696</v>
      </c>
      <c r="D563" s="35" t="s">
        <v>1270</v>
      </c>
      <c r="E563" s="35" t="n">
        <v>46</v>
      </c>
      <c r="F563" s="35" t="s">
        <v>235</v>
      </c>
      <c r="G563" s="35" t="s">
        <v>218</v>
      </c>
      <c r="H563" s="35" t="s">
        <v>211</v>
      </c>
      <c r="I563" s="35" t="s">
        <v>202</v>
      </c>
      <c r="J563" s="35" t="n">
        <v>4</v>
      </c>
      <c r="K563" s="65" t="n">
        <v>26924.41</v>
      </c>
      <c r="L563" s="65" t="n">
        <v>107697.64</v>
      </c>
      <c r="M563" s="66" t="n">
        <f aca="false">DATE(YEAR(B563),MONTH(B563),1)</f>
        <v>45992</v>
      </c>
      <c r="N563" s="35" t="str">
        <f aca="false">IF(G563="","Unknown",G563)</f>
        <v>Bengaluru</v>
      </c>
      <c r="O563" s="35" t="str">
        <f aca="false">IF(E563="","Unknown",IF(E563&lt;=25,"18-25",IF(E563&lt;=35,"26-35",IF(E563&lt;=45,"36-45",IF(E563&lt;=55,"46-55","56-65")))))</f>
        <v>46-55</v>
      </c>
      <c r="P563" s="35" t="n">
        <f aca="false">COUNTIF($C$2:$C$1001,C563)</f>
        <v>1</v>
      </c>
      <c r="Q563" s="35" t="n">
        <f aca="false">IF(COUNTIF($C$2:C563,C563)=1,1,0)</f>
        <v>1</v>
      </c>
    </row>
    <row r="564" customFormat="false" ht="15" hidden="false" customHeight="false" outlineLevel="0" collapsed="false">
      <c r="A564" s="35" t="s">
        <v>1697</v>
      </c>
      <c r="B564" s="64" t="n">
        <v>45732</v>
      </c>
      <c r="C564" s="35" t="s">
        <v>1698</v>
      </c>
      <c r="D564" s="35" t="s">
        <v>415</v>
      </c>
      <c r="E564" s="35" t="n">
        <v>56</v>
      </c>
      <c r="F564" s="35" t="s">
        <v>234</v>
      </c>
      <c r="G564" s="35" t="s">
        <v>220</v>
      </c>
      <c r="H564" s="35" t="s">
        <v>210</v>
      </c>
      <c r="I564" s="35" t="s">
        <v>201</v>
      </c>
      <c r="J564" s="35" t="n">
        <v>3</v>
      </c>
      <c r="K564" s="65" t="n">
        <v>6301.32</v>
      </c>
      <c r="L564" s="65" t="n">
        <v>18903.96</v>
      </c>
      <c r="M564" s="66" t="n">
        <f aca="false">DATE(YEAR(B564),MONTH(B564),1)</f>
        <v>45717</v>
      </c>
      <c r="N564" s="35" t="str">
        <f aca="false">IF(G564="","Unknown",G564)</f>
        <v>Hyderabad</v>
      </c>
      <c r="O564" s="35" t="str">
        <f aca="false">IF(E564="","Unknown",IF(E564&lt;=25,"18-25",IF(E564&lt;=35,"26-35",IF(E564&lt;=45,"36-45",IF(E564&lt;=55,"46-55","56-65")))))</f>
        <v>56-65</v>
      </c>
      <c r="P564" s="35" t="n">
        <f aca="false">COUNTIF($C$2:$C$1001,C564)</f>
        <v>1</v>
      </c>
      <c r="Q564" s="35" t="n">
        <f aca="false">IF(COUNTIF($C$2:C564,C564)=1,1,0)</f>
        <v>1</v>
      </c>
    </row>
    <row r="565" customFormat="false" ht="15" hidden="false" customHeight="false" outlineLevel="0" collapsed="false">
      <c r="A565" s="35" t="s">
        <v>1699</v>
      </c>
      <c r="B565" s="64" t="n">
        <v>45942</v>
      </c>
      <c r="C565" s="35" t="s">
        <v>1700</v>
      </c>
      <c r="D565" s="35" t="s">
        <v>982</v>
      </c>
      <c r="E565" s="35" t="n">
        <v>40</v>
      </c>
      <c r="F565" s="35" t="s">
        <v>235</v>
      </c>
      <c r="G565" s="35" t="s">
        <v>216</v>
      </c>
      <c r="H565" s="35" t="s">
        <v>210</v>
      </c>
      <c r="I565" s="35" t="s">
        <v>201</v>
      </c>
      <c r="J565" s="35" t="n">
        <v>10</v>
      </c>
      <c r="K565" s="65" t="n">
        <v>39690.68</v>
      </c>
      <c r="L565" s="65" t="n">
        <v>396906.8</v>
      </c>
      <c r="M565" s="66" t="n">
        <f aca="false">DATE(YEAR(B565),MONTH(B565),1)</f>
        <v>45931</v>
      </c>
      <c r="N565" s="35" t="str">
        <f aca="false">IF(G565="","Unknown",G565)</f>
        <v>Patna</v>
      </c>
      <c r="O565" s="35" t="str">
        <f aca="false">IF(E565="","Unknown",IF(E565&lt;=25,"18-25",IF(E565&lt;=35,"26-35",IF(E565&lt;=45,"36-45",IF(E565&lt;=55,"46-55","56-65")))))</f>
        <v>36-45</v>
      </c>
      <c r="P565" s="35" t="n">
        <f aca="false">COUNTIF($C$2:$C$1001,C565)</f>
        <v>1</v>
      </c>
      <c r="Q565" s="35" t="n">
        <f aca="false">IF(COUNTIF($C$2:C565,C565)=1,1,0)</f>
        <v>1</v>
      </c>
    </row>
    <row r="566" customFormat="false" ht="15" hidden="false" customHeight="false" outlineLevel="0" collapsed="false">
      <c r="A566" s="35" t="s">
        <v>1701</v>
      </c>
      <c r="B566" s="64" t="n">
        <v>45953</v>
      </c>
      <c r="C566" s="35" t="s">
        <v>1702</v>
      </c>
      <c r="D566" s="35" t="s">
        <v>988</v>
      </c>
      <c r="E566" s="35" t="n">
        <v>63</v>
      </c>
      <c r="F566" s="35" t="s">
        <v>234</v>
      </c>
      <c r="G566" s="35" t="s">
        <v>218</v>
      </c>
      <c r="H566" s="35" t="s">
        <v>212</v>
      </c>
      <c r="I566" s="35" t="s">
        <v>203</v>
      </c>
      <c r="J566" s="35" t="n">
        <v>6</v>
      </c>
      <c r="K566" s="65" t="n">
        <v>36327.94</v>
      </c>
      <c r="L566" s="65" t="n">
        <v>217967.64</v>
      </c>
      <c r="M566" s="66" t="n">
        <f aca="false">DATE(YEAR(B566),MONTH(B566),1)</f>
        <v>45931</v>
      </c>
      <c r="N566" s="35" t="str">
        <f aca="false">IF(G566="","Unknown",G566)</f>
        <v>Bengaluru</v>
      </c>
      <c r="O566" s="35" t="str">
        <f aca="false">IF(E566="","Unknown",IF(E566&lt;=25,"18-25",IF(E566&lt;=35,"26-35",IF(E566&lt;=45,"36-45",IF(E566&lt;=55,"46-55","56-65")))))</f>
        <v>56-65</v>
      </c>
      <c r="P566" s="35" t="n">
        <f aca="false">COUNTIF($C$2:$C$1001,C566)</f>
        <v>1</v>
      </c>
      <c r="Q566" s="35" t="n">
        <f aca="false">IF(COUNTIF($C$2:C566,C566)=1,1,0)</f>
        <v>1</v>
      </c>
    </row>
    <row r="567" customFormat="false" ht="15" hidden="false" customHeight="false" outlineLevel="0" collapsed="false">
      <c r="A567" s="35" t="s">
        <v>1703</v>
      </c>
      <c r="B567" s="64" t="n">
        <v>45677</v>
      </c>
      <c r="C567" s="35" t="s">
        <v>1704</v>
      </c>
      <c r="D567" s="35" t="s">
        <v>382</v>
      </c>
      <c r="E567" s="35" t="n">
        <v>60</v>
      </c>
      <c r="F567" s="35" t="s">
        <v>235</v>
      </c>
      <c r="G567" s="35" t="s">
        <v>219</v>
      </c>
      <c r="H567" s="35" t="s">
        <v>209</v>
      </c>
      <c r="I567" s="35" t="s">
        <v>200</v>
      </c>
      <c r="J567" s="35" t="n">
        <v>10</v>
      </c>
      <c r="K567" s="65" t="n">
        <v>21547.89</v>
      </c>
      <c r="L567" s="65" t="n">
        <v>215478.9</v>
      </c>
      <c r="M567" s="66" t="n">
        <f aca="false">DATE(YEAR(B567),MONTH(B567),1)</f>
        <v>45658</v>
      </c>
      <c r="N567" s="35" t="str">
        <f aca="false">IF(G567="","Unknown",G567)</f>
        <v>Mumbai</v>
      </c>
      <c r="O567" s="35" t="str">
        <f aca="false">IF(E567="","Unknown",IF(E567&lt;=25,"18-25",IF(E567&lt;=35,"26-35",IF(E567&lt;=45,"36-45",IF(E567&lt;=55,"46-55","56-65")))))</f>
        <v>56-65</v>
      </c>
      <c r="P567" s="35" t="n">
        <f aca="false">COUNTIF($C$2:$C$1001,C567)</f>
        <v>1</v>
      </c>
      <c r="Q567" s="35" t="n">
        <f aca="false">IF(COUNTIF($C$2:C567,C567)=1,1,0)</f>
        <v>1</v>
      </c>
    </row>
    <row r="568" customFormat="false" ht="15" hidden="false" customHeight="false" outlineLevel="0" collapsed="false">
      <c r="A568" s="35" t="s">
        <v>1705</v>
      </c>
      <c r="B568" s="64" t="n">
        <v>45760</v>
      </c>
      <c r="C568" s="35" t="s">
        <v>1706</v>
      </c>
      <c r="D568" s="35" t="s">
        <v>1560</v>
      </c>
      <c r="E568" s="35" t="n">
        <v>41</v>
      </c>
      <c r="F568" s="35" t="s">
        <v>235</v>
      </c>
      <c r="G568" s="35" t="s">
        <v>216</v>
      </c>
      <c r="H568" s="35" t="s">
        <v>210</v>
      </c>
      <c r="I568" s="35" t="s">
        <v>201</v>
      </c>
      <c r="J568" s="35" t="n">
        <v>8</v>
      </c>
      <c r="K568" s="65" t="n">
        <v>32749.76</v>
      </c>
      <c r="L568" s="65" t="n">
        <v>261998.08</v>
      </c>
      <c r="M568" s="66" t="n">
        <f aca="false">DATE(YEAR(B568),MONTH(B568),1)</f>
        <v>45748</v>
      </c>
      <c r="N568" s="35" t="str">
        <f aca="false">IF(G568="","Unknown",G568)</f>
        <v>Patna</v>
      </c>
      <c r="O568" s="35" t="str">
        <f aca="false">IF(E568="","Unknown",IF(E568&lt;=25,"18-25",IF(E568&lt;=35,"26-35",IF(E568&lt;=45,"36-45",IF(E568&lt;=55,"46-55","56-65")))))</f>
        <v>36-45</v>
      </c>
      <c r="P568" s="35" t="n">
        <f aca="false">COUNTIF($C$2:$C$1001,C568)</f>
        <v>1</v>
      </c>
      <c r="Q568" s="35" t="n">
        <f aca="false">IF(COUNTIF($C$2:C568,C568)=1,1,0)</f>
        <v>1</v>
      </c>
    </row>
    <row r="569" customFormat="false" ht="15" hidden="false" customHeight="false" outlineLevel="0" collapsed="false">
      <c r="A569" s="35" t="s">
        <v>1707</v>
      </c>
      <c r="B569" s="64" t="n">
        <v>45733</v>
      </c>
      <c r="C569" s="35" t="s">
        <v>1708</v>
      </c>
      <c r="D569" s="35" t="s">
        <v>364</v>
      </c>
      <c r="E569" s="35" t="n">
        <v>21</v>
      </c>
      <c r="F569" s="35" t="s">
        <v>235</v>
      </c>
      <c r="G569" s="35" t="s">
        <v>217</v>
      </c>
      <c r="H569" s="35" t="s">
        <v>212</v>
      </c>
      <c r="I569" s="35" t="s">
        <v>203</v>
      </c>
      <c r="J569" s="35" t="n">
        <v>10</v>
      </c>
      <c r="K569" s="65" t="n">
        <v>43251.3</v>
      </c>
      <c r="L569" s="65" t="n">
        <v>432513</v>
      </c>
      <c r="M569" s="66" t="n">
        <f aca="false">DATE(YEAR(B569),MONTH(B569),1)</f>
        <v>45717</v>
      </c>
      <c r="N569" s="35" t="str">
        <f aca="false">IF(G569="","Unknown",G569)</f>
        <v>Kolkata</v>
      </c>
      <c r="O569" s="35" t="str">
        <f aca="false">IF(E569="","Unknown",IF(E569&lt;=25,"18-25",IF(E569&lt;=35,"26-35",IF(E569&lt;=45,"36-45",IF(E569&lt;=55,"46-55","56-65")))))</f>
        <v>18-25</v>
      </c>
      <c r="P569" s="35" t="n">
        <f aca="false">COUNTIF($C$2:$C$1001,C569)</f>
        <v>2</v>
      </c>
      <c r="Q569" s="35" t="n">
        <f aca="false">IF(COUNTIF($C$2:C569,C569)=1,1,0)</f>
        <v>1</v>
      </c>
    </row>
    <row r="570" customFormat="false" ht="15" hidden="false" customHeight="false" outlineLevel="0" collapsed="false">
      <c r="A570" s="35" t="s">
        <v>1709</v>
      </c>
      <c r="B570" s="64" t="n">
        <v>45724</v>
      </c>
      <c r="C570" s="35" t="s">
        <v>1710</v>
      </c>
      <c r="D570" s="35" t="s">
        <v>281</v>
      </c>
      <c r="E570" s="35" t="n">
        <v>32</v>
      </c>
      <c r="F570" s="35" t="s">
        <v>235</v>
      </c>
      <c r="G570" s="35" t="s">
        <v>220</v>
      </c>
      <c r="H570" s="35" t="s">
        <v>212</v>
      </c>
      <c r="I570" s="35" t="s">
        <v>203</v>
      </c>
      <c r="J570" s="35" t="n">
        <v>3</v>
      </c>
      <c r="K570" s="65" t="n">
        <v>47748.45</v>
      </c>
      <c r="L570" s="65" t="n">
        <v>143245.35</v>
      </c>
      <c r="M570" s="66" t="n">
        <f aca="false">DATE(YEAR(B570),MONTH(B570),1)</f>
        <v>45717</v>
      </c>
      <c r="N570" s="35" t="str">
        <f aca="false">IF(G570="","Unknown",G570)</f>
        <v>Hyderabad</v>
      </c>
      <c r="O570" s="35" t="str">
        <f aca="false">IF(E570="","Unknown",IF(E570&lt;=25,"18-25",IF(E570&lt;=35,"26-35",IF(E570&lt;=45,"36-45",IF(E570&lt;=55,"46-55","56-65")))))</f>
        <v>26-35</v>
      </c>
      <c r="P570" s="35" t="n">
        <f aca="false">COUNTIF($C$2:$C$1001,C570)</f>
        <v>1</v>
      </c>
      <c r="Q570" s="35" t="n">
        <f aca="false">IF(COUNTIF($C$2:C570,C570)=1,1,0)</f>
        <v>1</v>
      </c>
    </row>
    <row r="571" customFormat="false" ht="15" hidden="false" customHeight="false" outlineLevel="0" collapsed="false">
      <c r="A571" s="35" t="s">
        <v>1711</v>
      </c>
      <c r="B571" s="64" t="n">
        <v>46013</v>
      </c>
      <c r="C571" s="35" t="s">
        <v>1712</v>
      </c>
      <c r="D571" s="35" t="s">
        <v>1694</v>
      </c>
      <c r="E571" s="35" t="n">
        <v>52</v>
      </c>
      <c r="F571" s="35" t="s">
        <v>235</v>
      </c>
      <c r="G571" s="35" t="s">
        <v>216</v>
      </c>
      <c r="H571" s="35" t="s">
        <v>210</v>
      </c>
      <c r="I571" s="35" t="s">
        <v>201</v>
      </c>
      <c r="J571" s="35" t="n">
        <v>4</v>
      </c>
      <c r="K571" s="65" t="n">
        <v>16276.94</v>
      </c>
      <c r="L571" s="65" t="n">
        <v>65107.76</v>
      </c>
      <c r="M571" s="66" t="n">
        <f aca="false">DATE(YEAR(B571),MONTH(B571),1)</f>
        <v>45992</v>
      </c>
      <c r="N571" s="35" t="str">
        <f aca="false">IF(G571="","Unknown",G571)</f>
        <v>Patna</v>
      </c>
      <c r="O571" s="35" t="str">
        <f aca="false">IF(E571="","Unknown",IF(E571&lt;=25,"18-25",IF(E571&lt;=35,"26-35",IF(E571&lt;=45,"36-45",IF(E571&lt;=55,"46-55","56-65")))))</f>
        <v>46-55</v>
      </c>
      <c r="P571" s="35" t="n">
        <f aca="false">COUNTIF($C$2:$C$1001,C571)</f>
        <v>1</v>
      </c>
      <c r="Q571" s="35" t="n">
        <f aca="false">IF(COUNTIF($C$2:C571,C571)=1,1,0)</f>
        <v>1</v>
      </c>
    </row>
    <row r="572" customFormat="false" ht="15" hidden="false" customHeight="false" outlineLevel="0" collapsed="false">
      <c r="A572" s="35" t="s">
        <v>1713</v>
      </c>
      <c r="B572" s="64" t="n">
        <v>45787</v>
      </c>
      <c r="C572" s="35" t="s">
        <v>1714</v>
      </c>
      <c r="D572" s="35" t="s">
        <v>431</v>
      </c>
      <c r="E572" s="35" t="n">
        <v>48</v>
      </c>
      <c r="F572" s="35" t="s">
        <v>235</v>
      </c>
      <c r="G572" s="35" t="s">
        <v>221</v>
      </c>
      <c r="H572" s="35" t="s">
        <v>211</v>
      </c>
      <c r="I572" s="35" t="s">
        <v>202</v>
      </c>
      <c r="J572" s="35" t="n">
        <v>9</v>
      </c>
      <c r="K572" s="65" t="n">
        <v>11122.7</v>
      </c>
      <c r="L572" s="65" t="n">
        <v>100104.3</v>
      </c>
      <c r="M572" s="66" t="n">
        <f aca="false">DATE(YEAR(B572),MONTH(B572),1)</f>
        <v>45778</v>
      </c>
      <c r="N572" s="35" t="str">
        <f aca="false">IF(G572="","Unknown",G572)</f>
        <v>Delhi</v>
      </c>
      <c r="O572" s="35" t="str">
        <f aca="false">IF(E572="","Unknown",IF(E572&lt;=25,"18-25",IF(E572&lt;=35,"26-35",IF(E572&lt;=45,"36-45",IF(E572&lt;=55,"46-55","56-65")))))</f>
        <v>46-55</v>
      </c>
      <c r="P572" s="35" t="n">
        <f aca="false">COUNTIF($C$2:$C$1001,C572)</f>
        <v>1</v>
      </c>
      <c r="Q572" s="35" t="n">
        <f aca="false">IF(COUNTIF($C$2:C572,C572)=1,1,0)</f>
        <v>1</v>
      </c>
    </row>
    <row r="573" customFormat="false" ht="15" hidden="false" customHeight="false" outlineLevel="0" collapsed="false">
      <c r="A573" s="35" t="s">
        <v>1715</v>
      </c>
      <c r="B573" s="64" t="n">
        <v>45666</v>
      </c>
      <c r="C573" s="35" t="s">
        <v>1716</v>
      </c>
      <c r="D573" s="35" t="s">
        <v>1524</v>
      </c>
      <c r="E573" s="35" t="n">
        <v>62</v>
      </c>
      <c r="F573" s="35" t="s">
        <v>234</v>
      </c>
      <c r="G573" s="35" t="s">
        <v>216</v>
      </c>
      <c r="H573" s="35" t="s">
        <v>213</v>
      </c>
      <c r="I573" s="35" t="s">
        <v>204</v>
      </c>
      <c r="J573" s="35" t="n">
        <v>2</v>
      </c>
      <c r="K573" s="65" t="n">
        <v>39005.27</v>
      </c>
      <c r="L573" s="65" t="n">
        <v>78010.54</v>
      </c>
      <c r="M573" s="66" t="n">
        <f aca="false">DATE(YEAR(B573),MONTH(B573),1)</f>
        <v>45658</v>
      </c>
      <c r="N573" s="35" t="str">
        <f aca="false">IF(G573="","Unknown",G573)</f>
        <v>Patna</v>
      </c>
      <c r="O573" s="35" t="str">
        <f aca="false">IF(E573="","Unknown",IF(E573&lt;=25,"18-25",IF(E573&lt;=35,"26-35",IF(E573&lt;=45,"36-45",IF(E573&lt;=55,"46-55","56-65")))))</f>
        <v>56-65</v>
      </c>
      <c r="P573" s="35" t="n">
        <f aca="false">COUNTIF($C$2:$C$1001,C573)</f>
        <v>1</v>
      </c>
      <c r="Q573" s="35" t="n">
        <f aca="false">IF(COUNTIF($C$2:C573,C573)=1,1,0)</f>
        <v>1</v>
      </c>
    </row>
    <row r="574" customFormat="false" ht="15" hidden="false" customHeight="false" outlineLevel="0" collapsed="false">
      <c r="A574" s="35" t="s">
        <v>1717</v>
      </c>
      <c r="B574" s="64" t="n">
        <v>46023</v>
      </c>
      <c r="C574" s="35" t="s">
        <v>1718</v>
      </c>
      <c r="D574" s="35" t="s">
        <v>1719</v>
      </c>
      <c r="E574" s="35" t="n">
        <v>28</v>
      </c>
      <c r="F574" s="35" t="s">
        <v>234</v>
      </c>
      <c r="G574" s="35" t="s">
        <v>216</v>
      </c>
      <c r="H574" s="35" t="s">
        <v>209</v>
      </c>
      <c r="I574" s="35" t="s">
        <v>200</v>
      </c>
      <c r="J574" s="35" t="n">
        <v>6</v>
      </c>
      <c r="K574" s="65" t="n">
        <v>16346.82</v>
      </c>
      <c r="L574" s="65" t="n">
        <v>98080.92</v>
      </c>
      <c r="M574" s="66" t="n">
        <f aca="false">DATE(YEAR(B574),MONTH(B574),1)</f>
        <v>46023</v>
      </c>
      <c r="N574" s="35" t="str">
        <f aca="false">IF(G574="","Unknown",G574)</f>
        <v>Patna</v>
      </c>
      <c r="O574" s="35" t="str">
        <f aca="false">IF(E574="","Unknown",IF(E574&lt;=25,"18-25",IF(E574&lt;=35,"26-35",IF(E574&lt;=45,"36-45",IF(E574&lt;=55,"46-55","56-65")))))</f>
        <v>26-35</v>
      </c>
      <c r="P574" s="35" t="n">
        <f aca="false">COUNTIF($C$2:$C$1001,C574)</f>
        <v>1</v>
      </c>
      <c r="Q574" s="35" t="n">
        <f aca="false">IF(COUNTIF($C$2:C574,C574)=1,1,0)</f>
        <v>1</v>
      </c>
    </row>
    <row r="575" customFormat="false" ht="15" hidden="false" customHeight="false" outlineLevel="0" collapsed="false">
      <c r="A575" s="35" t="s">
        <v>1720</v>
      </c>
      <c r="B575" s="64" t="n">
        <v>45920</v>
      </c>
      <c r="C575" s="35" t="s">
        <v>1721</v>
      </c>
      <c r="D575" s="35" t="s">
        <v>784</v>
      </c>
      <c r="E575" s="35" t="n">
        <v>38</v>
      </c>
      <c r="F575" s="35" t="s">
        <v>235</v>
      </c>
      <c r="G575" s="35" t="s">
        <v>222</v>
      </c>
      <c r="H575" s="35" t="s">
        <v>209</v>
      </c>
      <c r="I575" s="35" t="s">
        <v>200</v>
      </c>
      <c r="J575" s="35" t="n">
        <v>4</v>
      </c>
      <c r="K575" s="65" t="n">
        <v>3859.9</v>
      </c>
      <c r="L575" s="65" t="n">
        <v>15439.6</v>
      </c>
      <c r="M575" s="66" t="n">
        <f aca="false">DATE(YEAR(B575),MONTH(B575),1)</f>
        <v>45901</v>
      </c>
      <c r="N575" s="35" t="str">
        <f aca="false">IF(G575="","Unknown",G575)</f>
        <v>Pune</v>
      </c>
      <c r="O575" s="35" t="str">
        <f aca="false">IF(E575="","Unknown",IF(E575&lt;=25,"18-25",IF(E575&lt;=35,"26-35",IF(E575&lt;=45,"36-45",IF(E575&lt;=55,"46-55","56-65")))))</f>
        <v>36-45</v>
      </c>
      <c r="P575" s="35" t="n">
        <f aca="false">COUNTIF($C$2:$C$1001,C575)</f>
        <v>1</v>
      </c>
      <c r="Q575" s="35" t="n">
        <f aca="false">IF(COUNTIF($C$2:C575,C575)=1,1,0)</f>
        <v>1</v>
      </c>
    </row>
    <row r="576" customFormat="false" ht="15" hidden="false" customHeight="false" outlineLevel="0" collapsed="false">
      <c r="A576" s="35" t="s">
        <v>1722</v>
      </c>
      <c r="B576" s="64" t="n">
        <v>45793</v>
      </c>
      <c r="C576" s="35" t="s">
        <v>1723</v>
      </c>
      <c r="D576" s="35" t="s">
        <v>1091</v>
      </c>
      <c r="E576" s="35" t="n">
        <v>39</v>
      </c>
      <c r="F576" s="35" t="s">
        <v>235</v>
      </c>
      <c r="G576" s="35" t="s">
        <v>217</v>
      </c>
      <c r="H576" s="35" t="s">
        <v>208</v>
      </c>
      <c r="I576" s="35" t="s">
        <v>200</v>
      </c>
      <c r="J576" s="35" t="n">
        <v>6</v>
      </c>
      <c r="K576" s="65" t="n">
        <v>49058.94</v>
      </c>
      <c r="L576" s="65" t="n">
        <v>294353.64</v>
      </c>
      <c r="M576" s="66" t="n">
        <f aca="false">DATE(YEAR(B576),MONTH(B576),1)</f>
        <v>45778</v>
      </c>
      <c r="N576" s="35" t="str">
        <f aca="false">IF(G576="","Unknown",G576)</f>
        <v>Kolkata</v>
      </c>
      <c r="O576" s="35" t="str">
        <f aca="false">IF(E576="","Unknown",IF(E576&lt;=25,"18-25",IF(E576&lt;=35,"26-35",IF(E576&lt;=45,"36-45",IF(E576&lt;=55,"46-55","56-65")))))</f>
        <v>36-45</v>
      </c>
      <c r="P576" s="35" t="n">
        <f aca="false">COUNTIF($C$2:$C$1001,C576)</f>
        <v>1</v>
      </c>
      <c r="Q576" s="35" t="n">
        <f aca="false">IF(COUNTIF($C$2:C576,C576)=1,1,0)</f>
        <v>1</v>
      </c>
    </row>
    <row r="577" customFormat="false" ht="15" hidden="false" customHeight="false" outlineLevel="0" collapsed="false">
      <c r="A577" s="35" t="s">
        <v>1724</v>
      </c>
      <c r="B577" s="64" t="n">
        <v>45826</v>
      </c>
      <c r="C577" s="35" t="s">
        <v>1725</v>
      </c>
      <c r="D577" s="35" t="s">
        <v>314</v>
      </c>
      <c r="E577" s="35" t="n">
        <v>24</v>
      </c>
      <c r="F577" s="35" t="s">
        <v>235</v>
      </c>
      <c r="G577" s="35" t="s">
        <v>216</v>
      </c>
      <c r="H577" s="35" t="s">
        <v>209</v>
      </c>
      <c r="I577" s="35" t="s">
        <v>200</v>
      </c>
      <c r="J577" s="35" t="n">
        <v>7</v>
      </c>
      <c r="K577" s="65" t="n">
        <v>413.2</v>
      </c>
      <c r="L577" s="65" t="n">
        <v>2892.4</v>
      </c>
      <c r="M577" s="66" t="n">
        <f aca="false">DATE(YEAR(B577),MONTH(B577),1)</f>
        <v>45809</v>
      </c>
      <c r="N577" s="35" t="str">
        <f aca="false">IF(G577="","Unknown",G577)</f>
        <v>Patna</v>
      </c>
      <c r="O577" s="35" t="str">
        <f aca="false">IF(E577="","Unknown",IF(E577&lt;=25,"18-25",IF(E577&lt;=35,"26-35",IF(E577&lt;=45,"36-45",IF(E577&lt;=55,"46-55","56-65")))))</f>
        <v>18-25</v>
      </c>
      <c r="P577" s="35" t="n">
        <f aca="false">COUNTIF($C$2:$C$1001,C577)</f>
        <v>1</v>
      </c>
      <c r="Q577" s="35" t="n">
        <f aca="false">IF(COUNTIF($C$2:C577,C577)=1,1,0)</f>
        <v>1</v>
      </c>
    </row>
    <row r="578" customFormat="false" ht="15" hidden="false" customHeight="false" outlineLevel="0" collapsed="false">
      <c r="A578" s="35" t="s">
        <v>1726</v>
      </c>
      <c r="B578" s="64" t="n">
        <v>45725</v>
      </c>
      <c r="C578" s="35" t="s">
        <v>1727</v>
      </c>
      <c r="D578" s="35" t="s">
        <v>1728</v>
      </c>
      <c r="E578" s="35" t="n">
        <v>26</v>
      </c>
      <c r="F578" s="35" t="s">
        <v>235</v>
      </c>
      <c r="G578" s="35" t="s">
        <v>216</v>
      </c>
      <c r="H578" s="35" t="s">
        <v>213</v>
      </c>
      <c r="I578" s="35" t="s">
        <v>204</v>
      </c>
      <c r="J578" s="35" t="n">
        <v>5</v>
      </c>
      <c r="K578" s="65" t="n">
        <v>21555.12</v>
      </c>
      <c r="L578" s="65" t="n">
        <v>107775.6</v>
      </c>
      <c r="M578" s="66" t="n">
        <f aca="false">DATE(YEAR(B578),MONTH(B578),1)</f>
        <v>45717</v>
      </c>
      <c r="N578" s="35" t="str">
        <f aca="false">IF(G578="","Unknown",G578)</f>
        <v>Patna</v>
      </c>
      <c r="O578" s="35" t="str">
        <f aca="false">IF(E578="","Unknown",IF(E578&lt;=25,"18-25",IF(E578&lt;=35,"26-35",IF(E578&lt;=45,"36-45",IF(E578&lt;=55,"46-55","56-65")))))</f>
        <v>26-35</v>
      </c>
      <c r="P578" s="35" t="n">
        <f aca="false">COUNTIF($C$2:$C$1001,C578)</f>
        <v>1</v>
      </c>
      <c r="Q578" s="35" t="n">
        <f aca="false">IF(COUNTIF($C$2:C578,C578)=1,1,0)</f>
        <v>1</v>
      </c>
    </row>
    <row r="579" customFormat="false" ht="15" hidden="false" customHeight="false" outlineLevel="0" collapsed="false">
      <c r="A579" s="35" t="s">
        <v>1729</v>
      </c>
      <c r="B579" s="64" t="n">
        <v>45766</v>
      </c>
      <c r="C579" s="35" t="s">
        <v>1730</v>
      </c>
      <c r="D579" s="35" t="s">
        <v>373</v>
      </c>
      <c r="E579" s="35" t="n">
        <v>38</v>
      </c>
      <c r="F579" s="35" t="s">
        <v>234</v>
      </c>
      <c r="G579" s="35" t="s">
        <v>221</v>
      </c>
      <c r="H579" s="35" t="s">
        <v>212</v>
      </c>
      <c r="I579" s="35" t="s">
        <v>203</v>
      </c>
      <c r="J579" s="35" t="n">
        <v>5</v>
      </c>
      <c r="K579" s="65" t="n">
        <v>37214.58</v>
      </c>
      <c r="L579" s="65" t="n">
        <v>186072.9</v>
      </c>
      <c r="M579" s="66" t="n">
        <f aca="false">DATE(YEAR(B579),MONTH(B579),1)</f>
        <v>45748</v>
      </c>
      <c r="N579" s="35" t="str">
        <f aca="false">IF(G579="","Unknown",G579)</f>
        <v>Delhi</v>
      </c>
      <c r="O579" s="35" t="str">
        <f aca="false">IF(E579="","Unknown",IF(E579&lt;=25,"18-25",IF(E579&lt;=35,"26-35",IF(E579&lt;=45,"36-45",IF(E579&lt;=55,"46-55","56-65")))))</f>
        <v>36-45</v>
      </c>
      <c r="P579" s="35" t="n">
        <f aca="false">COUNTIF($C$2:$C$1001,C579)</f>
        <v>1</v>
      </c>
      <c r="Q579" s="35" t="n">
        <f aca="false">IF(COUNTIF($C$2:C579,C579)=1,1,0)</f>
        <v>1</v>
      </c>
    </row>
    <row r="580" customFormat="false" ht="15" hidden="false" customHeight="false" outlineLevel="0" collapsed="false">
      <c r="A580" s="35" t="s">
        <v>1731</v>
      </c>
      <c r="B580" s="64" t="n">
        <v>45828</v>
      </c>
      <c r="C580" s="35" t="s">
        <v>1732</v>
      </c>
      <c r="D580" s="35" t="s">
        <v>1733</v>
      </c>
      <c r="E580" s="35" t="n">
        <v>31</v>
      </c>
      <c r="F580" s="35" t="s">
        <v>235</v>
      </c>
      <c r="G580" s="35" t="s">
        <v>216</v>
      </c>
      <c r="H580" s="35" t="s">
        <v>209</v>
      </c>
      <c r="I580" s="35" t="s">
        <v>200</v>
      </c>
      <c r="J580" s="35" t="n">
        <v>10</v>
      </c>
      <c r="K580" s="65" t="n">
        <v>21194.59</v>
      </c>
      <c r="L580" s="65" t="n">
        <v>211945.9</v>
      </c>
      <c r="M580" s="66" t="n">
        <f aca="false">DATE(YEAR(B580),MONTH(B580),1)</f>
        <v>45809</v>
      </c>
      <c r="N580" s="35" t="str">
        <f aca="false">IF(G580="","Unknown",G580)</f>
        <v>Patna</v>
      </c>
      <c r="O580" s="35" t="str">
        <f aca="false">IF(E580="","Unknown",IF(E580&lt;=25,"18-25",IF(E580&lt;=35,"26-35",IF(E580&lt;=45,"36-45",IF(E580&lt;=55,"46-55","56-65")))))</f>
        <v>26-35</v>
      </c>
      <c r="P580" s="35" t="n">
        <f aca="false">COUNTIF($C$2:$C$1001,C580)</f>
        <v>1</v>
      </c>
      <c r="Q580" s="35" t="n">
        <f aca="false">IF(COUNTIF($C$2:C580,C580)=1,1,0)</f>
        <v>1</v>
      </c>
    </row>
    <row r="581" customFormat="false" ht="15" hidden="false" customHeight="false" outlineLevel="0" collapsed="false">
      <c r="A581" s="35" t="s">
        <v>1734</v>
      </c>
      <c r="B581" s="64" t="n">
        <v>45845</v>
      </c>
      <c r="C581" s="35" t="s">
        <v>1735</v>
      </c>
      <c r="D581" s="35" t="s">
        <v>768</v>
      </c>
      <c r="E581" s="35" t="n">
        <v>49</v>
      </c>
      <c r="F581" s="35" t="s">
        <v>235</v>
      </c>
      <c r="G581" s="35" t="s">
        <v>217</v>
      </c>
      <c r="H581" s="35" t="s">
        <v>213</v>
      </c>
      <c r="I581" s="35" t="s">
        <v>204</v>
      </c>
      <c r="J581" s="35" t="n">
        <v>8</v>
      </c>
      <c r="K581" s="65" t="n">
        <v>44971.9</v>
      </c>
      <c r="L581" s="65" t="n">
        <v>359775.2</v>
      </c>
      <c r="M581" s="66" t="n">
        <f aca="false">DATE(YEAR(B581),MONTH(B581),1)</f>
        <v>45839</v>
      </c>
      <c r="N581" s="35" t="str">
        <f aca="false">IF(G581="","Unknown",G581)</f>
        <v>Kolkata</v>
      </c>
      <c r="O581" s="35" t="str">
        <f aca="false">IF(E581="","Unknown",IF(E581&lt;=25,"18-25",IF(E581&lt;=35,"26-35",IF(E581&lt;=45,"36-45",IF(E581&lt;=55,"46-55","56-65")))))</f>
        <v>46-55</v>
      </c>
      <c r="P581" s="35" t="n">
        <f aca="false">COUNTIF($C$2:$C$1001,C581)</f>
        <v>1</v>
      </c>
      <c r="Q581" s="35" t="n">
        <f aca="false">IF(COUNTIF($C$2:C581,C581)=1,1,0)</f>
        <v>1</v>
      </c>
    </row>
    <row r="582" customFormat="false" ht="15" hidden="false" customHeight="false" outlineLevel="0" collapsed="false">
      <c r="A582" s="35" t="s">
        <v>1736</v>
      </c>
      <c r="B582" s="64" t="n">
        <v>46020</v>
      </c>
      <c r="C582" s="35" t="s">
        <v>1573</v>
      </c>
      <c r="D582" s="35" t="s">
        <v>1099</v>
      </c>
      <c r="E582" s="35" t="n">
        <v>39</v>
      </c>
      <c r="F582" s="35" t="s">
        <v>234</v>
      </c>
      <c r="G582" s="35" t="s">
        <v>222</v>
      </c>
      <c r="H582" s="35" t="s">
        <v>213</v>
      </c>
      <c r="I582" s="35" t="s">
        <v>204</v>
      </c>
      <c r="J582" s="35" t="n">
        <v>4</v>
      </c>
      <c r="K582" s="65" t="n">
        <v>26046.5</v>
      </c>
      <c r="L582" s="65" t="n">
        <v>104186</v>
      </c>
      <c r="M582" s="66" t="n">
        <f aca="false">DATE(YEAR(B582),MONTH(B582),1)</f>
        <v>45992</v>
      </c>
      <c r="N582" s="35" t="str">
        <f aca="false">IF(G582="","Unknown",G582)</f>
        <v>Pune</v>
      </c>
      <c r="O582" s="35" t="str">
        <f aca="false">IF(E582="","Unknown",IF(E582&lt;=25,"18-25",IF(E582&lt;=35,"26-35",IF(E582&lt;=45,"36-45",IF(E582&lt;=55,"46-55","56-65")))))</f>
        <v>36-45</v>
      </c>
      <c r="P582" s="35" t="n">
        <f aca="false">COUNTIF($C$2:$C$1001,C582)</f>
        <v>2</v>
      </c>
      <c r="Q582" s="35" t="n">
        <f aca="false">IF(COUNTIF($C$2:C582,C582)=1,1,0)</f>
        <v>0</v>
      </c>
    </row>
    <row r="583" customFormat="false" ht="15" hidden="false" customHeight="false" outlineLevel="0" collapsed="false">
      <c r="A583" s="35" t="s">
        <v>1737</v>
      </c>
      <c r="B583" s="64" t="n">
        <v>45723</v>
      </c>
      <c r="C583" s="35" t="s">
        <v>1738</v>
      </c>
      <c r="D583" s="35" t="s">
        <v>546</v>
      </c>
      <c r="E583" s="35" t="n">
        <v>59</v>
      </c>
      <c r="F583" s="35" t="s">
        <v>234</v>
      </c>
      <c r="G583" s="35" t="s">
        <v>221</v>
      </c>
      <c r="H583" s="35" t="s">
        <v>209</v>
      </c>
      <c r="I583" s="35" t="s">
        <v>200</v>
      </c>
      <c r="J583" s="35" t="n">
        <v>3</v>
      </c>
      <c r="K583" s="65" t="n">
        <v>43567.37</v>
      </c>
      <c r="L583" s="65" t="n">
        <v>130702.11</v>
      </c>
      <c r="M583" s="66" t="n">
        <f aca="false">DATE(YEAR(B583),MONTH(B583),1)</f>
        <v>45717</v>
      </c>
      <c r="N583" s="35" t="str">
        <f aca="false">IF(G583="","Unknown",G583)</f>
        <v>Delhi</v>
      </c>
      <c r="O583" s="35" t="str">
        <f aca="false">IF(E583="","Unknown",IF(E583&lt;=25,"18-25",IF(E583&lt;=35,"26-35",IF(E583&lt;=45,"36-45",IF(E583&lt;=55,"46-55","56-65")))))</f>
        <v>56-65</v>
      </c>
      <c r="P583" s="35" t="n">
        <f aca="false">COUNTIF($C$2:$C$1001,C583)</f>
        <v>1</v>
      </c>
      <c r="Q583" s="35" t="n">
        <f aca="false">IF(COUNTIF($C$2:C583,C583)=1,1,0)</f>
        <v>1</v>
      </c>
    </row>
    <row r="584" customFormat="false" ht="15" hidden="false" customHeight="false" outlineLevel="0" collapsed="false">
      <c r="A584" s="35" t="s">
        <v>1739</v>
      </c>
      <c r="B584" s="64" t="n">
        <v>45924</v>
      </c>
      <c r="C584" s="35" t="s">
        <v>1740</v>
      </c>
      <c r="D584" s="35" t="s">
        <v>459</v>
      </c>
      <c r="E584" s="35" t="n">
        <v>40</v>
      </c>
      <c r="F584" s="35" t="s">
        <v>234</v>
      </c>
      <c r="G584" s="35" t="s">
        <v>219</v>
      </c>
      <c r="H584" s="35" t="s">
        <v>210</v>
      </c>
      <c r="I584" s="35" t="s">
        <v>201</v>
      </c>
      <c r="J584" s="35" t="n">
        <v>5</v>
      </c>
      <c r="K584" s="65" t="n">
        <v>19565.23</v>
      </c>
      <c r="L584" s="65" t="n">
        <v>97826.15</v>
      </c>
      <c r="M584" s="66" t="n">
        <f aca="false">DATE(YEAR(B584),MONTH(B584),1)</f>
        <v>45901</v>
      </c>
      <c r="N584" s="35" t="str">
        <f aca="false">IF(G584="","Unknown",G584)</f>
        <v>Mumbai</v>
      </c>
      <c r="O584" s="35" t="str">
        <f aca="false">IF(E584="","Unknown",IF(E584&lt;=25,"18-25",IF(E584&lt;=35,"26-35",IF(E584&lt;=45,"36-45",IF(E584&lt;=55,"46-55","56-65")))))</f>
        <v>36-45</v>
      </c>
      <c r="P584" s="35" t="n">
        <f aca="false">COUNTIF($C$2:$C$1001,C584)</f>
        <v>1</v>
      </c>
      <c r="Q584" s="35" t="n">
        <f aca="false">IF(COUNTIF($C$2:C584,C584)=1,1,0)</f>
        <v>1</v>
      </c>
    </row>
    <row r="585" customFormat="false" ht="15" hidden="false" customHeight="false" outlineLevel="0" collapsed="false">
      <c r="A585" s="35" t="s">
        <v>1741</v>
      </c>
      <c r="B585" s="64" t="n">
        <v>45696</v>
      </c>
      <c r="C585" s="35" t="s">
        <v>1742</v>
      </c>
      <c r="D585" s="35" t="s">
        <v>1065</v>
      </c>
      <c r="E585" s="35" t="n">
        <v>62</v>
      </c>
      <c r="F585" s="35" t="s">
        <v>235</v>
      </c>
      <c r="G585" s="35" t="s">
        <v>216</v>
      </c>
      <c r="H585" s="35" t="s">
        <v>213</v>
      </c>
      <c r="I585" s="35" t="s">
        <v>204</v>
      </c>
      <c r="J585" s="35" t="n">
        <v>5</v>
      </c>
      <c r="K585" s="65" t="n">
        <v>7642.55</v>
      </c>
      <c r="L585" s="65" t="n">
        <v>38212.75</v>
      </c>
      <c r="M585" s="66" t="n">
        <f aca="false">DATE(YEAR(B585),MONTH(B585),1)</f>
        <v>45689</v>
      </c>
      <c r="N585" s="35" t="str">
        <f aca="false">IF(G585="","Unknown",G585)</f>
        <v>Patna</v>
      </c>
      <c r="O585" s="35" t="str">
        <f aca="false">IF(E585="","Unknown",IF(E585&lt;=25,"18-25",IF(E585&lt;=35,"26-35",IF(E585&lt;=45,"36-45",IF(E585&lt;=55,"46-55","56-65")))))</f>
        <v>56-65</v>
      </c>
      <c r="P585" s="35" t="n">
        <f aca="false">COUNTIF($C$2:$C$1001,C585)</f>
        <v>1</v>
      </c>
      <c r="Q585" s="35" t="n">
        <f aca="false">IF(COUNTIF($C$2:C585,C585)=1,1,0)</f>
        <v>1</v>
      </c>
    </row>
    <row r="586" customFormat="false" ht="15" hidden="false" customHeight="false" outlineLevel="0" collapsed="false">
      <c r="A586" s="35" t="s">
        <v>1743</v>
      </c>
      <c r="B586" s="64" t="n">
        <v>45670</v>
      </c>
      <c r="C586" s="35" t="s">
        <v>1744</v>
      </c>
      <c r="D586" s="35" t="s">
        <v>1745</v>
      </c>
      <c r="E586" s="35" t="n">
        <v>20</v>
      </c>
      <c r="F586" s="35" t="s">
        <v>235</v>
      </c>
      <c r="G586" s="35" t="s">
        <v>223</v>
      </c>
      <c r="H586" s="35" t="s">
        <v>209</v>
      </c>
      <c r="I586" s="35" t="s">
        <v>200</v>
      </c>
      <c r="J586" s="35" t="n">
        <v>7</v>
      </c>
      <c r="K586" s="65" t="n">
        <v>22060</v>
      </c>
      <c r="L586" s="65" t="n">
        <v>154420</v>
      </c>
      <c r="M586" s="66" t="n">
        <f aca="false">DATE(YEAR(B586),MONTH(B586),1)</f>
        <v>45658</v>
      </c>
      <c r="N586" s="35" t="str">
        <f aca="false">IF(G586="","Unknown",G586)</f>
        <v>Gaya</v>
      </c>
      <c r="O586" s="35" t="str">
        <f aca="false">IF(E586="","Unknown",IF(E586&lt;=25,"18-25",IF(E586&lt;=35,"26-35",IF(E586&lt;=45,"36-45",IF(E586&lt;=55,"46-55","56-65")))))</f>
        <v>18-25</v>
      </c>
      <c r="P586" s="35" t="n">
        <f aca="false">COUNTIF($C$2:$C$1001,C586)</f>
        <v>1</v>
      </c>
      <c r="Q586" s="35" t="n">
        <f aca="false">IF(COUNTIF($C$2:C586,C586)=1,1,0)</f>
        <v>1</v>
      </c>
    </row>
    <row r="587" customFormat="false" ht="15" hidden="false" customHeight="false" outlineLevel="0" collapsed="false">
      <c r="A587" s="35" t="s">
        <v>1746</v>
      </c>
      <c r="B587" s="64" t="n">
        <v>45904</v>
      </c>
      <c r="C587" s="35" t="s">
        <v>1747</v>
      </c>
      <c r="D587" s="35" t="s">
        <v>1748</v>
      </c>
      <c r="E587" s="35" t="n">
        <v>25</v>
      </c>
      <c r="F587" s="35" t="s">
        <v>235</v>
      </c>
      <c r="G587" s="35" t="s">
        <v>217</v>
      </c>
      <c r="H587" s="35" t="s">
        <v>208</v>
      </c>
      <c r="I587" s="35" t="s">
        <v>200</v>
      </c>
      <c r="J587" s="35" t="n">
        <v>2</v>
      </c>
      <c r="K587" s="65" t="n">
        <v>20074.3</v>
      </c>
      <c r="L587" s="65" t="n">
        <v>40148.6</v>
      </c>
      <c r="M587" s="66" t="n">
        <f aca="false">DATE(YEAR(B587),MONTH(B587),1)</f>
        <v>45901</v>
      </c>
      <c r="N587" s="35" t="str">
        <f aca="false">IF(G587="","Unknown",G587)</f>
        <v>Kolkata</v>
      </c>
      <c r="O587" s="35" t="str">
        <f aca="false">IF(E587="","Unknown",IF(E587&lt;=25,"18-25",IF(E587&lt;=35,"26-35",IF(E587&lt;=45,"36-45",IF(E587&lt;=55,"46-55","56-65")))))</f>
        <v>18-25</v>
      </c>
      <c r="P587" s="35" t="n">
        <f aca="false">COUNTIF($C$2:$C$1001,C587)</f>
        <v>1</v>
      </c>
      <c r="Q587" s="35" t="n">
        <f aca="false">IF(COUNTIF($C$2:C587,C587)=1,1,0)</f>
        <v>1</v>
      </c>
    </row>
    <row r="588" customFormat="false" ht="15" hidden="false" customHeight="false" outlineLevel="0" collapsed="false">
      <c r="A588" s="35" t="s">
        <v>1749</v>
      </c>
      <c r="B588" s="64" t="n">
        <v>45736</v>
      </c>
      <c r="C588" s="35" t="s">
        <v>1750</v>
      </c>
      <c r="D588" s="35" t="s">
        <v>418</v>
      </c>
      <c r="E588" s="35" t="n">
        <v>42</v>
      </c>
      <c r="F588" s="35" t="s">
        <v>234</v>
      </c>
      <c r="G588" s="35" t="s">
        <v>220</v>
      </c>
      <c r="H588" s="35" t="s">
        <v>210</v>
      </c>
      <c r="I588" s="35" t="s">
        <v>201</v>
      </c>
      <c r="J588" s="35" t="n">
        <v>2</v>
      </c>
      <c r="K588" s="65" t="n">
        <v>5442.06</v>
      </c>
      <c r="L588" s="65" t="n">
        <v>10884.12</v>
      </c>
      <c r="M588" s="66" t="n">
        <f aca="false">DATE(YEAR(B588),MONTH(B588),1)</f>
        <v>45717</v>
      </c>
      <c r="N588" s="35" t="str">
        <f aca="false">IF(G588="","Unknown",G588)</f>
        <v>Hyderabad</v>
      </c>
      <c r="O588" s="35" t="str">
        <f aca="false">IF(E588="","Unknown",IF(E588&lt;=25,"18-25",IF(E588&lt;=35,"26-35",IF(E588&lt;=45,"36-45",IF(E588&lt;=55,"46-55","56-65")))))</f>
        <v>36-45</v>
      </c>
      <c r="P588" s="35" t="n">
        <f aca="false">COUNTIF($C$2:$C$1001,C588)</f>
        <v>1</v>
      </c>
      <c r="Q588" s="35" t="n">
        <f aca="false">IF(COUNTIF($C$2:C588,C588)=1,1,0)</f>
        <v>1</v>
      </c>
    </row>
    <row r="589" customFormat="false" ht="15" hidden="false" customHeight="false" outlineLevel="0" collapsed="false">
      <c r="A589" s="35" t="s">
        <v>1751</v>
      </c>
      <c r="B589" s="64" t="n">
        <v>46008</v>
      </c>
      <c r="C589" s="35" t="s">
        <v>1752</v>
      </c>
      <c r="D589" s="35" t="s">
        <v>436</v>
      </c>
      <c r="E589" s="35" t="n">
        <v>49</v>
      </c>
      <c r="F589" s="35" t="s">
        <v>235</v>
      </c>
      <c r="G589" s="35" t="s">
        <v>222</v>
      </c>
      <c r="H589" s="35" t="s">
        <v>209</v>
      </c>
      <c r="I589" s="35" t="s">
        <v>200</v>
      </c>
      <c r="J589" s="35" t="n">
        <v>6</v>
      </c>
      <c r="K589" s="65" t="n">
        <v>38159.29</v>
      </c>
      <c r="L589" s="65" t="n">
        <v>228955.74</v>
      </c>
      <c r="M589" s="66" t="n">
        <f aca="false">DATE(YEAR(B589),MONTH(B589),1)</f>
        <v>45992</v>
      </c>
      <c r="N589" s="35" t="str">
        <f aca="false">IF(G589="","Unknown",G589)</f>
        <v>Pune</v>
      </c>
      <c r="O589" s="35" t="str">
        <f aca="false">IF(E589="","Unknown",IF(E589&lt;=25,"18-25",IF(E589&lt;=35,"26-35",IF(E589&lt;=45,"36-45",IF(E589&lt;=55,"46-55","56-65")))))</f>
        <v>46-55</v>
      </c>
      <c r="P589" s="35" t="n">
        <f aca="false">COUNTIF($C$2:$C$1001,C589)</f>
        <v>1</v>
      </c>
      <c r="Q589" s="35" t="n">
        <f aca="false">IF(COUNTIF($C$2:C589,C589)=1,1,0)</f>
        <v>1</v>
      </c>
    </row>
    <row r="590" customFormat="false" ht="15" hidden="false" customHeight="false" outlineLevel="0" collapsed="false">
      <c r="A590" s="35" t="s">
        <v>1753</v>
      </c>
      <c r="B590" s="64" t="n">
        <v>46010</v>
      </c>
      <c r="C590" s="35" t="s">
        <v>1754</v>
      </c>
      <c r="D590" s="35" t="s">
        <v>1755</v>
      </c>
      <c r="E590" s="35" t="n">
        <v>44</v>
      </c>
      <c r="F590" s="35" t="s">
        <v>235</v>
      </c>
      <c r="G590" s="35" t="s">
        <v>219</v>
      </c>
      <c r="H590" s="35" t="s">
        <v>208</v>
      </c>
      <c r="I590" s="35" t="s">
        <v>200</v>
      </c>
      <c r="J590" s="35" t="n">
        <v>1</v>
      </c>
      <c r="K590" s="65" t="n">
        <v>18229</v>
      </c>
      <c r="L590" s="65" t="n">
        <v>18229</v>
      </c>
      <c r="M590" s="66" t="n">
        <f aca="false">DATE(YEAR(B590),MONTH(B590),1)</f>
        <v>45992</v>
      </c>
      <c r="N590" s="35" t="str">
        <f aca="false">IF(G590="","Unknown",G590)</f>
        <v>Mumbai</v>
      </c>
      <c r="O590" s="35" t="str">
        <f aca="false">IF(E590="","Unknown",IF(E590&lt;=25,"18-25",IF(E590&lt;=35,"26-35",IF(E590&lt;=45,"36-45",IF(E590&lt;=55,"46-55","56-65")))))</f>
        <v>36-45</v>
      </c>
      <c r="P590" s="35" t="n">
        <f aca="false">COUNTIF($C$2:$C$1001,C590)</f>
        <v>1</v>
      </c>
      <c r="Q590" s="35" t="n">
        <f aca="false">IF(COUNTIF($C$2:C590,C590)=1,1,0)</f>
        <v>1</v>
      </c>
    </row>
    <row r="591" customFormat="false" ht="15" hidden="false" customHeight="false" outlineLevel="0" collapsed="false">
      <c r="A591" s="35" t="s">
        <v>1756</v>
      </c>
      <c r="B591" s="64" t="n">
        <v>45835</v>
      </c>
      <c r="C591" s="35" t="s">
        <v>1757</v>
      </c>
      <c r="D591" s="35" t="s">
        <v>1037</v>
      </c>
      <c r="E591" s="35" t="n">
        <v>61</v>
      </c>
      <c r="F591" s="35" t="s">
        <v>234</v>
      </c>
      <c r="G591" s="35" t="s">
        <v>221</v>
      </c>
      <c r="H591" s="35" t="s">
        <v>210</v>
      </c>
      <c r="I591" s="35" t="s">
        <v>201</v>
      </c>
      <c r="J591" s="35" t="n">
        <v>2</v>
      </c>
      <c r="K591" s="65" t="n">
        <v>14656.73</v>
      </c>
      <c r="L591" s="65" t="n">
        <v>29313.46</v>
      </c>
      <c r="M591" s="66" t="n">
        <f aca="false">DATE(YEAR(B591),MONTH(B591),1)</f>
        <v>45809</v>
      </c>
      <c r="N591" s="35" t="str">
        <f aca="false">IF(G591="","Unknown",G591)</f>
        <v>Delhi</v>
      </c>
      <c r="O591" s="35" t="str">
        <f aca="false">IF(E591="","Unknown",IF(E591&lt;=25,"18-25",IF(E591&lt;=35,"26-35",IF(E591&lt;=45,"36-45",IF(E591&lt;=55,"46-55","56-65")))))</f>
        <v>56-65</v>
      </c>
      <c r="P591" s="35" t="n">
        <f aca="false">COUNTIF($C$2:$C$1001,C591)</f>
        <v>1</v>
      </c>
      <c r="Q591" s="35" t="n">
        <f aca="false">IF(COUNTIF($C$2:C591,C591)=1,1,0)</f>
        <v>1</v>
      </c>
    </row>
    <row r="592" customFormat="false" ht="15" hidden="false" customHeight="false" outlineLevel="0" collapsed="false">
      <c r="A592" s="35" t="s">
        <v>1758</v>
      </c>
      <c r="B592" s="64" t="n">
        <v>45877</v>
      </c>
      <c r="C592" s="35" t="s">
        <v>1759</v>
      </c>
      <c r="D592" s="35" t="s">
        <v>1760</v>
      </c>
      <c r="E592" s="35" t="n">
        <v>51</v>
      </c>
      <c r="F592" s="35" t="s">
        <v>234</v>
      </c>
      <c r="G592" s="35" t="s">
        <v>219</v>
      </c>
      <c r="H592" s="35" t="s">
        <v>209</v>
      </c>
      <c r="I592" s="35" t="s">
        <v>200</v>
      </c>
      <c r="J592" s="35" t="n">
        <v>3</v>
      </c>
      <c r="K592" s="65" t="n">
        <v>1286.36</v>
      </c>
      <c r="L592" s="65" t="n">
        <v>3859.08</v>
      </c>
      <c r="M592" s="66" t="n">
        <f aca="false">DATE(YEAR(B592),MONTH(B592),1)</f>
        <v>45870</v>
      </c>
      <c r="N592" s="35" t="str">
        <f aca="false">IF(G592="","Unknown",G592)</f>
        <v>Mumbai</v>
      </c>
      <c r="O592" s="35" t="str">
        <f aca="false">IF(E592="","Unknown",IF(E592&lt;=25,"18-25",IF(E592&lt;=35,"26-35",IF(E592&lt;=45,"36-45",IF(E592&lt;=55,"46-55","56-65")))))</f>
        <v>46-55</v>
      </c>
      <c r="P592" s="35" t="n">
        <f aca="false">COUNTIF($C$2:$C$1001,C592)</f>
        <v>1</v>
      </c>
      <c r="Q592" s="35" t="n">
        <f aca="false">IF(COUNTIF($C$2:C592,C592)=1,1,0)</f>
        <v>1</v>
      </c>
    </row>
    <row r="593" customFormat="false" ht="15" hidden="false" customHeight="false" outlineLevel="0" collapsed="false">
      <c r="A593" s="35" t="s">
        <v>1761</v>
      </c>
      <c r="B593" s="64" t="n">
        <v>45658</v>
      </c>
      <c r="C593" s="35" t="s">
        <v>1762</v>
      </c>
      <c r="D593" s="35" t="s">
        <v>1465</v>
      </c>
      <c r="E593" s="35" t="n">
        <v>43</v>
      </c>
      <c r="F593" s="35" t="s">
        <v>235</v>
      </c>
      <c r="G593" s="35" t="s">
        <v>217</v>
      </c>
      <c r="H593" s="35" t="s">
        <v>208</v>
      </c>
      <c r="I593" s="35" t="s">
        <v>200</v>
      </c>
      <c r="J593" s="35" t="n">
        <v>2</v>
      </c>
      <c r="K593" s="65" t="n">
        <v>11893.8</v>
      </c>
      <c r="L593" s="65" t="n">
        <v>23787.6</v>
      </c>
      <c r="M593" s="66" t="n">
        <f aca="false">DATE(YEAR(B593),MONTH(B593),1)</f>
        <v>45658</v>
      </c>
      <c r="N593" s="35" t="str">
        <f aca="false">IF(G593="","Unknown",G593)</f>
        <v>Kolkata</v>
      </c>
      <c r="O593" s="35" t="str">
        <f aca="false">IF(E593="","Unknown",IF(E593&lt;=25,"18-25",IF(E593&lt;=35,"26-35",IF(E593&lt;=45,"36-45",IF(E593&lt;=55,"46-55","56-65")))))</f>
        <v>36-45</v>
      </c>
      <c r="P593" s="35" t="n">
        <f aca="false">COUNTIF($C$2:$C$1001,C593)</f>
        <v>1</v>
      </c>
      <c r="Q593" s="35" t="n">
        <f aca="false">IF(COUNTIF($C$2:C593,C593)=1,1,0)</f>
        <v>1</v>
      </c>
    </row>
    <row r="594" customFormat="false" ht="15" hidden="false" customHeight="false" outlineLevel="0" collapsed="false">
      <c r="A594" s="35" t="s">
        <v>1763</v>
      </c>
      <c r="B594" s="64" t="n">
        <v>45875</v>
      </c>
      <c r="C594" s="35" t="s">
        <v>1764</v>
      </c>
      <c r="D594" s="35" t="s">
        <v>1765</v>
      </c>
      <c r="E594" s="35" t="n">
        <v>49</v>
      </c>
      <c r="F594" s="35" t="s">
        <v>235</v>
      </c>
      <c r="G594" s="35" t="s">
        <v>219</v>
      </c>
      <c r="H594" s="35" t="s">
        <v>213</v>
      </c>
      <c r="I594" s="35" t="s">
        <v>204</v>
      </c>
      <c r="J594" s="35" t="n">
        <v>2</v>
      </c>
      <c r="K594" s="65" t="n">
        <v>11967.47</v>
      </c>
      <c r="L594" s="65" t="n">
        <v>23934.94</v>
      </c>
      <c r="M594" s="66" t="n">
        <f aca="false">DATE(YEAR(B594),MONTH(B594),1)</f>
        <v>45870</v>
      </c>
      <c r="N594" s="35" t="str">
        <f aca="false">IF(G594="","Unknown",G594)</f>
        <v>Mumbai</v>
      </c>
      <c r="O594" s="35" t="str">
        <f aca="false">IF(E594="","Unknown",IF(E594&lt;=25,"18-25",IF(E594&lt;=35,"26-35",IF(E594&lt;=45,"36-45",IF(E594&lt;=55,"46-55","56-65")))))</f>
        <v>46-55</v>
      </c>
      <c r="P594" s="35" t="n">
        <f aca="false">COUNTIF($C$2:$C$1001,C594)</f>
        <v>1</v>
      </c>
      <c r="Q594" s="35" t="n">
        <f aca="false">IF(COUNTIF($C$2:C594,C594)=1,1,0)</f>
        <v>1</v>
      </c>
    </row>
    <row r="595" customFormat="false" ht="15" hidden="false" customHeight="false" outlineLevel="0" collapsed="false">
      <c r="A595" s="35" t="s">
        <v>1766</v>
      </c>
      <c r="B595" s="64" t="n">
        <v>45764</v>
      </c>
      <c r="C595" s="35" t="s">
        <v>1767</v>
      </c>
      <c r="D595" s="35" t="s">
        <v>1768</v>
      </c>
      <c r="E595" s="35" t="n">
        <v>24</v>
      </c>
      <c r="F595" s="35" t="s">
        <v>235</v>
      </c>
      <c r="G595" s="35" t="s">
        <v>222</v>
      </c>
      <c r="H595" s="35" t="s">
        <v>212</v>
      </c>
      <c r="I595" s="35" t="s">
        <v>203</v>
      </c>
      <c r="J595" s="35" t="n">
        <v>4</v>
      </c>
      <c r="K595" s="65" t="n">
        <v>35411.73</v>
      </c>
      <c r="L595" s="65" t="n">
        <v>141646.92</v>
      </c>
      <c r="M595" s="66" t="n">
        <f aca="false">DATE(YEAR(B595),MONTH(B595),1)</f>
        <v>45748</v>
      </c>
      <c r="N595" s="35" t="str">
        <f aca="false">IF(G595="","Unknown",G595)</f>
        <v>Pune</v>
      </c>
      <c r="O595" s="35" t="str">
        <f aca="false">IF(E595="","Unknown",IF(E595&lt;=25,"18-25",IF(E595&lt;=35,"26-35",IF(E595&lt;=45,"36-45",IF(E595&lt;=55,"46-55","56-65")))))</f>
        <v>18-25</v>
      </c>
      <c r="P595" s="35" t="n">
        <f aca="false">COUNTIF($C$2:$C$1001,C595)</f>
        <v>1</v>
      </c>
      <c r="Q595" s="35" t="n">
        <f aca="false">IF(COUNTIF($C$2:C595,C595)=1,1,0)</f>
        <v>1</v>
      </c>
    </row>
    <row r="596" customFormat="false" ht="15" hidden="false" customHeight="false" outlineLevel="0" collapsed="false">
      <c r="A596" s="35" t="s">
        <v>1769</v>
      </c>
      <c r="B596" s="64" t="n">
        <v>45942</v>
      </c>
      <c r="C596" s="35" t="s">
        <v>1251</v>
      </c>
      <c r="D596" s="35" t="s">
        <v>447</v>
      </c>
      <c r="E596" s="35" t="n">
        <v>30</v>
      </c>
      <c r="F596" s="35" t="s">
        <v>235</v>
      </c>
      <c r="G596" s="35" t="s">
        <v>221</v>
      </c>
      <c r="H596" s="35" t="s">
        <v>211</v>
      </c>
      <c r="I596" s="35" t="s">
        <v>202</v>
      </c>
      <c r="J596" s="35" t="n">
        <v>1</v>
      </c>
      <c r="K596" s="65" t="n">
        <v>15515.24</v>
      </c>
      <c r="L596" s="65" t="n">
        <v>15515.24</v>
      </c>
      <c r="M596" s="66" t="n">
        <f aca="false">DATE(YEAR(B596),MONTH(B596),1)</f>
        <v>45931</v>
      </c>
      <c r="N596" s="35" t="str">
        <f aca="false">IF(G596="","Unknown",G596)</f>
        <v>Delhi</v>
      </c>
      <c r="O596" s="35" t="str">
        <f aca="false">IF(E596="","Unknown",IF(E596&lt;=25,"18-25",IF(E596&lt;=35,"26-35",IF(E596&lt;=45,"36-45",IF(E596&lt;=55,"46-55","56-65")))))</f>
        <v>26-35</v>
      </c>
      <c r="P596" s="35" t="n">
        <f aca="false">COUNTIF($C$2:$C$1001,C596)</f>
        <v>2</v>
      </c>
      <c r="Q596" s="35" t="n">
        <f aca="false">IF(COUNTIF($C$2:C596,C596)=1,1,0)</f>
        <v>0</v>
      </c>
    </row>
    <row r="597" customFormat="false" ht="15" hidden="false" customHeight="false" outlineLevel="0" collapsed="false">
      <c r="A597" s="35" t="s">
        <v>1770</v>
      </c>
      <c r="B597" s="64" t="n">
        <v>45783</v>
      </c>
      <c r="C597" s="35" t="s">
        <v>1771</v>
      </c>
      <c r="D597" s="35" t="s">
        <v>497</v>
      </c>
      <c r="E597" s="35" t="n">
        <v>52</v>
      </c>
      <c r="F597" s="35" t="s">
        <v>234</v>
      </c>
      <c r="G597" s="35" t="s">
        <v>219</v>
      </c>
      <c r="H597" s="35" t="s">
        <v>209</v>
      </c>
      <c r="I597" s="35" t="s">
        <v>200</v>
      </c>
      <c r="J597" s="35" t="n">
        <v>9</v>
      </c>
      <c r="K597" s="65" t="n">
        <v>697.87</v>
      </c>
      <c r="L597" s="65" t="n">
        <v>6280.83</v>
      </c>
      <c r="M597" s="66" t="n">
        <f aca="false">DATE(YEAR(B597),MONTH(B597),1)</f>
        <v>45778</v>
      </c>
      <c r="N597" s="35" t="str">
        <f aca="false">IF(G597="","Unknown",G597)</f>
        <v>Mumbai</v>
      </c>
      <c r="O597" s="35" t="str">
        <f aca="false">IF(E597="","Unknown",IF(E597&lt;=25,"18-25",IF(E597&lt;=35,"26-35",IF(E597&lt;=45,"36-45",IF(E597&lt;=55,"46-55","56-65")))))</f>
        <v>46-55</v>
      </c>
      <c r="P597" s="35" t="n">
        <f aca="false">COUNTIF($C$2:$C$1001,C597)</f>
        <v>1</v>
      </c>
      <c r="Q597" s="35" t="n">
        <f aca="false">IF(COUNTIF($C$2:C597,C597)=1,1,0)</f>
        <v>1</v>
      </c>
    </row>
    <row r="598" customFormat="false" ht="15" hidden="false" customHeight="false" outlineLevel="0" collapsed="false">
      <c r="A598" s="35" t="s">
        <v>1772</v>
      </c>
      <c r="B598" s="64" t="n">
        <v>45873</v>
      </c>
      <c r="C598" s="35" t="s">
        <v>1773</v>
      </c>
      <c r="D598" s="35" t="s">
        <v>1768</v>
      </c>
      <c r="E598" s="35" t="n">
        <v>55</v>
      </c>
      <c r="F598" s="35" t="s">
        <v>235</v>
      </c>
      <c r="G598" s="35" t="s">
        <v>221</v>
      </c>
      <c r="H598" s="35" t="s">
        <v>213</v>
      </c>
      <c r="I598" s="35" t="s">
        <v>204</v>
      </c>
      <c r="J598" s="35" t="n">
        <v>10</v>
      </c>
      <c r="K598" s="65" t="n">
        <v>20857.23</v>
      </c>
      <c r="L598" s="65" t="n">
        <v>208572.3</v>
      </c>
      <c r="M598" s="66" t="n">
        <f aca="false">DATE(YEAR(B598),MONTH(B598),1)</f>
        <v>45870</v>
      </c>
      <c r="N598" s="35" t="str">
        <f aca="false">IF(G598="","Unknown",G598)</f>
        <v>Delhi</v>
      </c>
      <c r="O598" s="35" t="str">
        <f aca="false">IF(E598="","Unknown",IF(E598&lt;=25,"18-25",IF(E598&lt;=35,"26-35",IF(E598&lt;=45,"36-45",IF(E598&lt;=55,"46-55","56-65")))))</f>
        <v>46-55</v>
      </c>
      <c r="P598" s="35" t="n">
        <f aca="false">COUNTIF($C$2:$C$1001,C598)</f>
        <v>1</v>
      </c>
      <c r="Q598" s="35" t="n">
        <f aca="false">IF(COUNTIF($C$2:C598,C598)=1,1,0)</f>
        <v>1</v>
      </c>
    </row>
    <row r="599" customFormat="false" ht="15" hidden="false" customHeight="false" outlineLevel="0" collapsed="false">
      <c r="A599" s="35" t="s">
        <v>1774</v>
      </c>
      <c r="B599" s="64" t="n">
        <v>45744</v>
      </c>
      <c r="C599" s="35" t="s">
        <v>1775</v>
      </c>
      <c r="D599" s="35" t="s">
        <v>1010</v>
      </c>
      <c r="E599" s="35" t="n">
        <v>21</v>
      </c>
      <c r="F599" s="35" t="s">
        <v>235</v>
      </c>
      <c r="G599" s="35" t="s">
        <v>217</v>
      </c>
      <c r="H599" s="35" t="s">
        <v>209</v>
      </c>
      <c r="I599" s="35" t="s">
        <v>200</v>
      </c>
      <c r="J599" s="35" t="n">
        <v>8</v>
      </c>
      <c r="K599" s="65" t="n">
        <v>3595.82</v>
      </c>
      <c r="L599" s="65" t="n">
        <v>28766.56</v>
      </c>
      <c r="M599" s="66" t="n">
        <f aca="false">DATE(YEAR(B599),MONTH(B599),1)</f>
        <v>45717</v>
      </c>
      <c r="N599" s="35" t="str">
        <f aca="false">IF(G599="","Unknown",G599)</f>
        <v>Kolkata</v>
      </c>
      <c r="O599" s="35" t="str">
        <f aca="false">IF(E599="","Unknown",IF(E599&lt;=25,"18-25",IF(E599&lt;=35,"26-35",IF(E599&lt;=45,"36-45",IF(E599&lt;=55,"46-55","56-65")))))</f>
        <v>18-25</v>
      </c>
      <c r="P599" s="35" t="n">
        <f aca="false">COUNTIF($C$2:$C$1001,C599)</f>
        <v>1</v>
      </c>
      <c r="Q599" s="35" t="n">
        <f aca="false">IF(COUNTIF($C$2:C599,C599)=1,1,0)</f>
        <v>1</v>
      </c>
    </row>
    <row r="600" customFormat="false" ht="15" hidden="false" customHeight="false" outlineLevel="0" collapsed="false">
      <c r="A600" s="35" t="s">
        <v>392</v>
      </c>
      <c r="B600" s="64" t="n">
        <v>45709</v>
      </c>
      <c r="C600" s="35" t="s">
        <v>1776</v>
      </c>
      <c r="D600" s="35" t="s">
        <v>418</v>
      </c>
      <c r="E600" s="35"/>
      <c r="F600" s="35" t="s">
        <v>234</v>
      </c>
      <c r="G600" s="35"/>
      <c r="H600" s="35" t="s">
        <v>208</v>
      </c>
      <c r="I600" s="35" t="s">
        <v>200</v>
      </c>
      <c r="J600" s="35" t="n">
        <v>7</v>
      </c>
      <c r="K600" s="65" t="n">
        <v>20144.84</v>
      </c>
      <c r="L600" s="65" t="n">
        <v>141013.88</v>
      </c>
      <c r="M600" s="66" t="n">
        <f aca="false">DATE(YEAR(B600),MONTH(B600),1)</f>
        <v>45689</v>
      </c>
      <c r="N600" s="35" t="str">
        <f aca="false">IF(G600="","Unknown",G600)</f>
        <v>Unknown</v>
      </c>
      <c r="O600" s="35" t="str">
        <f aca="false">IF(E600="","Unknown",IF(E600&lt;=25,"18-25",IF(E600&lt;=35,"26-35",IF(E600&lt;=45,"36-45",IF(E600&lt;=55,"46-55","56-65")))))</f>
        <v>Unknown</v>
      </c>
      <c r="P600" s="35" t="n">
        <f aca="false">COUNTIF($C$2:$C$1001,C600)</f>
        <v>1</v>
      </c>
      <c r="Q600" s="35" t="n">
        <f aca="false">IF(COUNTIF($C$2:C600,C600)=1,1,0)</f>
        <v>1</v>
      </c>
    </row>
    <row r="601" customFormat="false" ht="15" hidden="false" customHeight="false" outlineLevel="0" collapsed="false">
      <c r="A601" s="35" t="s">
        <v>1777</v>
      </c>
      <c r="B601" s="64" t="n">
        <v>45749</v>
      </c>
      <c r="C601" s="35" t="s">
        <v>1778</v>
      </c>
      <c r="D601" s="35" t="s">
        <v>1779</v>
      </c>
      <c r="E601" s="35" t="n">
        <v>61</v>
      </c>
      <c r="F601" s="35" t="s">
        <v>235</v>
      </c>
      <c r="G601" s="35" t="s">
        <v>217</v>
      </c>
      <c r="H601" s="35" t="s">
        <v>213</v>
      </c>
      <c r="I601" s="35" t="s">
        <v>204</v>
      </c>
      <c r="J601" s="35" t="n">
        <v>5</v>
      </c>
      <c r="K601" s="65" t="n">
        <v>30620.75</v>
      </c>
      <c r="L601" s="65" t="n">
        <v>153103.75</v>
      </c>
      <c r="M601" s="66" t="n">
        <f aca="false">DATE(YEAR(B601),MONTH(B601),1)</f>
        <v>45748</v>
      </c>
      <c r="N601" s="35" t="str">
        <f aca="false">IF(G601="","Unknown",G601)</f>
        <v>Kolkata</v>
      </c>
      <c r="O601" s="35" t="str">
        <f aca="false">IF(E601="","Unknown",IF(E601&lt;=25,"18-25",IF(E601&lt;=35,"26-35",IF(E601&lt;=45,"36-45",IF(E601&lt;=55,"46-55","56-65")))))</f>
        <v>56-65</v>
      </c>
      <c r="P601" s="35" t="n">
        <f aca="false">COUNTIF($C$2:$C$1001,C601)</f>
        <v>1</v>
      </c>
      <c r="Q601" s="35" t="n">
        <f aca="false">IF(COUNTIF($C$2:C601,C601)=1,1,0)</f>
        <v>1</v>
      </c>
    </row>
    <row r="602" customFormat="false" ht="15" hidden="false" customHeight="false" outlineLevel="0" collapsed="false">
      <c r="A602" s="35" t="s">
        <v>1780</v>
      </c>
      <c r="B602" s="64" t="n">
        <v>45905</v>
      </c>
      <c r="C602" s="35" t="s">
        <v>1781</v>
      </c>
      <c r="D602" s="35" t="s">
        <v>1040</v>
      </c>
      <c r="E602" s="35" t="n">
        <v>54</v>
      </c>
      <c r="F602" s="35" t="s">
        <v>234</v>
      </c>
      <c r="G602" s="35" t="s">
        <v>218</v>
      </c>
      <c r="H602" s="35" t="s">
        <v>208</v>
      </c>
      <c r="I602" s="35" t="s">
        <v>200</v>
      </c>
      <c r="J602" s="35" t="n">
        <v>9</v>
      </c>
      <c r="K602" s="65" t="n">
        <v>38955.26</v>
      </c>
      <c r="L602" s="65" t="n">
        <v>350597.34</v>
      </c>
      <c r="M602" s="66" t="n">
        <f aca="false">DATE(YEAR(B602),MONTH(B602),1)</f>
        <v>45901</v>
      </c>
      <c r="N602" s="35" t="str">
        <f aca="false">IF(G602="","Unknown",G602)</f>
        <v>Bengaluru</v>
      </c>
      <c r="O602" s="35" t="str">
        <f aca="false">IF(E602="","Unknown",IF(E602&lt;=25,"18-25",IF(E602&lt;=35,"26-35",IF(E602&lt;=45,"36-45",IF(E602&lt;=55,"46-55","56-65")))))</f>
        <v>46-55</v>
      </c>
      <c r="P602" s="35" t="n">
        <f aca="false">COUNTIF($C$2:$C$1001,C602)</f>
        <v>1</v>
      </c>
      <c r="Q602" s="35" t="n">
        <f aca="false">IF(COUNTIF($C$2:C602,C602)=1,1,0)</f>
        <v>1</v>
      </c>
    </row>
    <row r="603" customFormat="false" ht="15" hidden="false" customHeight="false" outlineLevel="0" collapsed="false">
      <c r="A603" s="35" t="s">
        <v>1782</v>
      </c>
      <c r="B603" s="64" t="n">
        <v>45873</v>
      </c>
      <c r="C603" s="35" t="s">
        <v>1783</v>
      </c>
      <c r="D603" s="35" t="s">
        <v>491</v>
      </c>
      <c r="E603" s="35" t="n">
        <v>39</v>
      </c>
      <c r="F603" s="35" t="s">
        <v>234</v>
      </c>
      <c r="G603" s="35" t="s">
        <v>223</v>
      </c>
      <c r="H603" s="35" t="s">
        <v>208</v>
      </c>
      <c r="I603" s="35" t="s">
        <v>200</v>
      </c>
      <c r="J603" s="35" t="n">
        <v>2</v>
      </c>
      <c r="K603" s="65" t="n">
        <v>7534.68</v>
      </c>
      <c r="L603" s="65" t="n">
        <v>15069.36</v>
      </c>
      <c r="M603" s="66" t="n">
        <f aca="false">DATE(YEAR(B603),MONTH(B603),1)</f>
        <v>45870</v>
      </c>
      <c r="N603" s="35" t="str">
        <f aca="false">IF(G603="","Unknown",G603)</f>
        <v>Gaya</v>
      </c>
      <c r="O603" s="35" t="str">
        <f aca="false">IF(E603="","Unknown",IF(E603&lt;=25,"18-25",IF(E603&lt;=35,"26-35",IF(E603&lt;=45,"36-45",IF(E603&lt;=55,"46-55","56-65")))))</f>
        <v>36-45</v>
      </c>
      <c r="P603" s="35" t="n">
        <f aca="false">COUNTIF($C$2:$C$1001,C603)</f>
        <v>1</v>
      </c>
      <c r="Q603" s="35" t="n">
        <f aca="false">IF(COUNTIF($C$2:C603,C603)=1,1,0)</f>
        <v>1</v>
      </c>
    </row>
    <row r="604" customFormat="false" ht="15" hidden="false" customHeight="false" outlineLevel="0" collapsed="false">
      <c r="A604" s="35" t="s">
        <v>1784</v>
      </c>
      <c r="B604" s="64" t="n">
        <v>45866</v>
      </c>
      <c r="C604" s="35" t="s">
        <v>1785</v>
      </c>
      <c r="D604" s="35" t="s">
        <v>1786</v>
      </c>
      <c r="E604" s="35" t="n">
        <v>31</v>
      </c>
      <c r="F604" s="35" t="s">
        <v>235</v>
      </c>
      <c r="G604" s="35" t="s">
        <v>223</v>
      </c>
      <c r="H604" s="35" t="s">
        <v>208</v>
      </c>
      <c r="I604" s="35" t="s">
        <v>200</v>
      </c>
      <c r="J604" s="35" t="n">
        <v>4</v>
      </c>
      <c r="K604" s="65" t="n">
        <v>5789.5</v>
      </c>
      <c r="L604" s="65" t="n">
        <v>23158</v>
      </c>
      <c r="M604" s="66" t="n">
        <f aca="false">DATE(YEAR(B604),MONTH(B604),1)</f>
        <v>45839</v>
      </c>
      <c r="N604" s="35" t="str">
        <f aca="false">IF(G604="","Unknown",G604)</f>
        <v>Gaya</v>
      </c>
      <c r="O604" s="35" t="str">
        <f aca="false">IF(E604="","Unknown",IF(E604&lt;=25,"18-25",IF(E604&lt;=35,"26-35",IF(E604&lt;=45,"36-45",IF(E604&lt;=55,"46-55","56-65")))))</f>
        <v>26-35</v>
      </c>
      <c r="P604" s="35" t="n">
        <f aca="false">COUNTIF($C$2:$C$1001,C604)</f>
        <v>1</v>
      </c>
      <c r="Q604" s="35" t="n">
        <f aca="false">IF(COUNTIF($C$2:C604,C604)=1,1,0)</f>
        <v>1</v>
      </c>
    </row>
    <row r="605" customFormat="false" ht="15" hidden="false" customHeight="false" outlineLevel="0" collapsed="false">
      <c r="A605" s="35" t="s">
        <v>1787</v>
      </c>
      <c r="B605" s="64" t="n">
        <v>45865</v>
      </c>
      <c r="C605" s="35" t="s">
        <v>1788</v>
      </c>
      <c r="D605" s="35" t="s">
        <v>1789</v>
      </c>
      <c r="E605" s="35" t="n">
        <v>63</v>
      </c>
      <c r="F605" s="35" t="s">
        <v>235</v>
      </c>
      <c r="G605" s="35" t="s">
        <v>216</v>
      </c>
      <c r="H605" s="35" t="s">
        <v>210</v>
      </c>
      <c r="I605" s="35" t="s">
        <v>201</v>
      </c>
      <c r="J605" s="35" t="n">
        <v>8</v>
      </c>
      <c r="K605" s="65" t="n">
        <v>46278.59</v>
      </c>
      <c r="L605" s="65" t="n">
        <v>370228.72</v>
      </c>
      <c r="M605" s="66" t="n">
        <f aca="false">DATE(YEAR(B605),MONTH(B605),1)</f>
        <v>45839</v>
      </c>
      <c r="N605" s="35" t="str">
        <f aca="false">IF(G605="","Unknown",G605)</f>
        <v>Patna</v>
      </c>
      <c r="O605" s="35" t="str">
        <f aca="false">IF(E605="","Unknown",IF(E605&lt;=25,"18-25",IF(E605&lt;=35,"26-35",IF(E605&lt;=45,"36-45",IF(E605&lt;=55,"46-55","56-65")))))</f>
        <v>56-65</v>
      </c>
      <c r="P605" s="35" t="n">
        <f aca="false">COUNTIF($C$2:$C$1001,C605)</f>
        <v>1</v>
      </c>
      <c r="Q605" s="35" t="n">
        <f aca="false">IF(COUNTIF($C$2:C605,C605)=1,1,0)</f>
        <v>1</v>
      </c>
    </row>
    <row r="606" customFormat="false" ht="15" hidden="false" customHeight="false" outlineLevel="0" collapsed="false">
      <c r="A606" s="35" t="s">
        <v>1790</v>
      </c>
      <c r="B606" s="64" t="n">
        <v>45708</v>
      </c>
      <c r="C606" s="35" t="s">
        <v>1791</v>
      </c>
      <c r="D606" s="35" t="s">
        <v>1021</v>
      </c>
      <c r="E606" s="35" t="n">
        <v>56</v>
      </c>
      <c r="F606" s="35" t="s">
        <v>235</v>
      </c>
      <c r="G606" s="35" t="s">
        <v>217</v>
      </c>
      <c r="H606" s="35" t="s">
        <v>212</v>
      </c>
      <c r="I606" s="35" t="s">
        <v>203</v>
      </c>
      <c r="J606" s="35" t="n">
        <v>2</v>
      </c>
      <c r="K606" s="65" t="n">
        <v>14770.13</v>
      </c>
      <c r="L606" s="65" t="n">
        <v>29540.26</v>
      </c>
      <c r="M606" s="66" t="n">
        <f aca="false">DATE(YEAR(B606),MONTH(B606),1)</f>
        <v>45689</v>
      </c>
      <c r="N606" s="35" t="str">
        <f aca="false">IF(G606="","Unknown",G606)</f>
        <v>Kolkata</v>
      </c>
      <c r="O606" s="35" t="str">
        <f aca="false">IF(E606="","Unknown",IF(E606&lt;=25,"18-25",IF(E606&lt;=35,"26-35",IF(E606&lt;=45,"36-45",IF(E606&lt;=55,"46-55","56-65")))))</f>
        <v>56-65</v>
      </c>
      <c r="P606" s="35" t="n">
        <f aca="false">COUNTIF($C$2:$C$1001,C606)</f>
        <v>1</v>
      </c>
      <c r="Q606" s="35" t="n">
        <f aca="false">IF(COUNTIF($C$2:C606,C606)=1,1,0)</f>
        <v>1</v>
      </c>
    </row>
    <row r="607" customFormat="false" ht="15" hidden="false" customHeight="false" outlineLevel="0" collapsed="false">
      <c r="A607" s="35" t="s">
        <v>1792</v>
      </c>
      <c r="B607" s="64" t="n">
        <v>45951</v>
      </c>
      <c r="C607" s="35" t="s">
        <v>1793</v>
      </c>
      <c r="D607" s="35" t="s">
        <v>535</v>
      </c>
      <c r="E607" s="35" t="n">
        <v>27</v>
      </c>
      <c r="F607" s="35" t="s">
        <v>235</v>
      </c>
      <c r="G607" s="35" t="s">
        <v>219</v>
      </c>
      <c r="H607" s="35" t="s">
        <v>211</v>
      </c>
      <c r="I607" s="35" t="s">
        <v>202</v>
      </c>
      <c r="J607" s="35" t="n">
        <v>6</v>
      </c>
      <c r="K607" s="65" t="n">
        <v>45095.75</v>
      </c>
      <c r="L607" s="65" t="n">
        <v>270574.5</v>
      </c>
      <c r="M607" s="66" t="n">
        <f aca="false">DATE(YEAR(B607),MONTH(B607),1)</f>
        <v>45931</v>
      </c>
      <c r="N607" s="35" t="str">
        <f aca="false">IF(G607="","Unknown",G607)</f>
        <v>Mumbai</v>
      </c>
      <c r="O607" s="35" t="str">
        <f aca="false">IF(E607="","Unknown",IF(E607&lt;=25,"18-25",IF(E607&lt;=35,"26-35",IF(E607&lt;=45,"36-45",IF(E607&lt;=55,"46-55","56-65")))))</f>
        <v>26-35</v>
      </c>
      <c r="P607" s="35" t="n">
        <f aca="false">COUNTIF($C$2:$C$1001,C607)</f>
        <v>1</v>
      </c>
      <c r="Q607" s="35" t="n">
        <f aca="false">IF(COUNTIF($C$2:C607,C607)=1,1,0)</f>
        <v>1</v>
      </c>
    </row>
    <row r="608" customFormat="false" ht="15" hidden="false" customHeight="false" outlineLevel="0" collapsed="false">
      <c r="A608" s="35" t="s">
        <v>1794</v>
      </c>
      <c r="B608" s="64" t="n">
        <v>45860</v>
      </c>
      <c r="C608" s="35" t="s">
        <v>1795</v>
      </c>
      <c r="D608" s="35" t="s">
        <v>1796</v>
      </c>
      <c r="E608" s="35" t="n">
        <v>34</v>
      </c>
      <c r="F608" s="35" t="s">
        <v>235</v>
      </c>
      <c r="G608" s="35" t="s">
        <v>220</v>
      </c>
      <c r="H608" s="35" t="s">
        <v>211</v>
      </c>
      <c r="I608" s="35" t="s">
        <v>202</v>
      </c>
      <c r="J608" s="35" t="n">
        <v>8</v>
      </c>
      <c r="K608" s="65" t="n">
        <v>10393.69</v>
      </c>
      <c r="L608" s="65" t="n">
        <v>83149.52</v>
      </c>
      <c r="M608" s="66" t="n">
        <f aca="false">DATE(YEAR(B608),MONTH(B608),1)</f>
        <v>45839</v>
      </c>
      <c r="N608" s="35" t="str">
        <f aca="false">IF(G608="","Unknown",G608)</f>
        <v>Hyderabad</v>
      </c>
      <c r="O608" s="35" t="str">
        <f aca="false">IF(E608="","Unknown",IF(E608&lt;=25,"18-25",IF(E608&lt;=35,"26-35",IF(E608&lt;=45,"36-45",IF(E608&lt;=55,"46-55","56-65")))))</f>
        <v>26-35</v>
      </c>
      <c r="P608" s="35" t="n">
        <f aca="false">COUNTIF($C$2:$C$1001,C608)</f>
        <v>1</v>
      </c>
      <c r="Q608" s="35" t="n">
        <f aca="false">IF(COUNTIF($C$2:C608,C608)=1,1,0)</f>
        <v>1</v>
      </c>
    </row>
    <row r="609" customFormat="false" ht="15" hidden="false" customHeight="false" outlineLevel="0" collapsed="false">
      <c r="A609" s="35" t="s">
        <v>1797</v>
      </c>
      <c r="B609" s="64" t="n">
        <v>45708</v>
      </c>
      <c r="C609" s="35" t="s">
        <v>1798</v>
      </c>
      <c r="D609" s="35" t="s">
        <v>784</v>
      </c>
      <c r="E609" s="35" t="n">
        <v>19</v>
      </c>
      <c r="F609" s="35" t="s">
        <v>235</v>
      </c>
      <c r="G609" s="35" t="s">
        <v>223</v>
      </c>
      <c r="H609" s="35" t="s">
        <v>211</v>
      </c>
      <c r="I609" s="35" t="s">
        <v>202</v>
      </c>
      <c r="J609" s="35" t="n">
        <v>4</v>
      </c>
      <c r="K609" s="65" t="n">
        <v>38952.78</v>
      </c>
      <c r="L609" s="65" t="n">
        <v>155811.12</v>
      </c>
      <c r="M609" s="66" t="n">
        <f aca="false">DATE(YEAR(B609),MONTH(B609),1)</f>
        <v>45689</v>
      </c>
      <c r="N609" s="35" t="str">
        <f aca="false">IF(G609="","Unknown",G609)</f>
        <v>Gaya</v>
      </c>
      <c r="O609" s="35" t="str">
        <f aca="false">IF(E609="","Unknown",IF(E609&lt;=25,"18-25",IF(E609&lt;=35,"26-35",IF(E609&lt;=45,"36-45",IF(E609&lt;=55,"46-55","56-65")))))</f>
        <v>18-25</v>
      </c>
      <c r="P609" s="35" t="n">
        <f aca="false">COUNTIF($C$2:$C$1001,C609)</f>
        <v>1</v>
      </c>
      <c r="Q609" s="35" t="n">
        <f aca="false">IF(COUNTIF($C$2:C609,C609)=1,1,0)</f>
        <v>1</v>
      </c>
    </row>
    <row r="610" customFormat="false" ht="15" hidden="false" customHeight="false" outlineLevel="0" collapsed="false">
      <c r="A610" s="35" t="s">
        <v>1799</v>
      </c>
      <c r="B610" s="64" t="n">
        <v>45984</v>
      </c>
      <c r="C610" s="35" t="s">
        <v>1800</v>
      </c>
      <c r="D610" s="35" t="s">
        <v>773</v>
      </c>
      <c r="E610" s="35" t="n">
        <v>48</v>
      </c>
      <c r="F610" s="35" t="s">
        <v>234</v>
      </c>
      <c r="G610" s="35" t="s">
        <v>217</v>
      </c>
      <c r="H610" s="35" t="s">
        <v>208</v>
      </c>
      <c r="I610" s="35" t="s">
        <v>200</v>
      </c>
      <c r="J610" s="35" t="n">
        <v>5</v>
      </c>
      <c r="K610" s="65" t="n">
        <v>3414.17</v>
      </c>
      <c r="L610" s="65" t="n">
        <v>17070.85</v>
      </c>
      <c r="M610" s="66" t="n">
        <f aca="false">DATE(YEAR(B610),MONTH(B610),1)</f>
        <v>45962</v>
      </c>
      <c r="N610" s="35" t="str">
        <f aca="false">IF(G610="","Unknown",G610)</f>
        <v>Kolkata</v>
      </c>
      <c r="O610" s="35" t="str">
        <f aca="false">IF(E610="","Unknown",IF(E610&lt;=25,"18-25",IF(E610&lt;=35,"26-35",IF(E610&lt;=45,"36-45",IF(E610&lt;=55,"46-55","56-65")))))</f>
        <v>46-55</v>
      </c>
      <c r="P610" s="35" t="n">
        <f aca="false">COUNTIF($C$2:$C$1001,C610)</f>
        <v>1</v>
      </c>
      <c r="Q610" s="35" t="n">
        <f aca="false">IF(COUNTIF($C$2:C610,C610)=1,1,0)</f>
        <v>1</v>
      </c>
    </row>
    <row r="611" customFormat="false" ht="15" hidden="false" customHeight="false" outlineLevel="0" collapsed="false">
      <c r="A611" s="35" t="s">
        <v>1801</v>
      </c>
      <c r="B611" s="64" t="n">
        <v>46012</v>
      </c>
      <c r="C611" s="35" t="s">
        <v>1802</v>
      </c>
      <c r="D611" s="35" t="s">
        <v>1796</v>
      </c>
      <c r="E611" s="35" t="n">
        <v>37</v>
      </c>
      <c r="F611" s="35" t="s">
        <v>235</v>
      </c>
      <c r="G611" s="35" t="s">
        <v>221</v>
      </c>
      <c r="H611" s="35" t="s">
        <v>208</v>
      </c>
      <c r="I611" s="35" t="s">
        <v>200</v>
      </c>
      <c r="J611" s="35" t="n">
        <v>7</v>
      </c>
      <c r="K611" s="65" t="n">
        <v>5129.02</v>
      </c>
      <c r="L611" s="65" t="n">
        <v>35903.14</v>
      </c>
      <c r="M611" s="66" t="n">
        <f aca="false">DATE(YEAR(B611),MONTH(B611),1)</f>
        <v>45992</v>
      </c>
      <c r="N611" s="35" t="str">
        <f aca="false">IF(G611="","Unknown",G611)</f>
        <v>Delhi</v>
      </c>
      <c r="O611" s="35" t="str">
        <f aca="false">IF(E611="","Unknown",IF(E611&lt;=25,"18-25",IF(E611&lt;=35,"26-35",IF(E611&lt;=45,"36-45",IF(E611&lt;=55,"46-55","56-65")))))</f>
        <v>36-45</v>
      </c>
      <c r="P611" s="35" t="n">
        <f aca="false">COUNTIF($C$2:$C$1001,C611)</f>
        <v>1</v>
      </c>
      <c r="Q611" s="35" t="n">
        <f aca="false">IF(COUNTIF($C$2:C611,C611)=1,1,0)</f>
        <v>1</v>
      </c>
    </row>
    <row r="612" customFormat="false" ht="15" hidden="false" customHeight="false" outlineLevel="0" collapsed="false">
      <c r="A612" s="35" t="s">
        <v>1803</v>
      </c>
      <c r="B612" s="64" t="n">
        <v>45756</v>
      </c>
      <c r="C612" s="35" t="s">
        <v>1804</v>
      </c>
      <c r="D612" s="35" t="s">
        <v>1805</v>
      </c>
      <c r="E612" s="35" t="n">
        <v>39</v>
      </c>
      <c r="F612" s="35" t="s">
        <v>235</v>
      </c>
      <c r="G612" s="35" t="s">
        <v>217</v>
      </c>
      <c r="H612" s="35" t="s">
        <v>209</v>
      </c>
      <c r="I612" s="35" t="s">
        <v>200</v>
      </c>
      <c r="J612" s="35" t="n">
        <v>3</v>
      </c>
      <c r="K612" s="65" t="n">
        <v>15846.45</v>
      </c>
      <c r="L612" s="65" t="n">
        <v>47539.35</v>
      </c>
      <c r="M612" s="66" t="n">
        <f aca="false">DATE(YEAR(B612),MONTH(B612),1)</f>
        <v>45748</v>
      </c>
      <c r="N612" s="35" t="str">
        <f aca="false">IF(G612="","Unknown",G612)</f>
        <v>Kolkata</v>
      </c>
      <c r="O612" s="35" t="str">
        <f aca="false">IF(E612="","Unknown",IF(E612&lt;=25,"18-25",IF(E612&lt;=35,"26-35",IF(E612&lt;=45,"36-45",IF(E612&lt;=55,"46-55","56-65")))))</f>
        <v>36-45</v>
      </c>
      <c r="P612" s="35" t="n">
        <f aca="false">COUNTIF($C$2:$C$1001,C612)</f>
        <v>1</v>
      </c>
      <c r="Q612" s="35" t="n">
        <f aca="false">IF(COUNTIF($C$2:C612,C612)=1,1,0)</f>
        <v>1</v>
      </c>
    </row>
    <row r="613" customFormat="false" ht="15" hidden="false" customHeight="false" outlineLevel="0" collapsed="false">
      <c r="A613" s="35" t="s">
        <v>1806</v>
      </c>
      <c r="B613" s="64" t="n">
        <v>45809</v>
      </c>
      <c r="C613" s="35" t="s">
        <v>1807</v>
      </c>
      <c r="D613" s="35" t="s">
        <v>1333</v>
      </c>
      <c r="E613" s="35" t="n">
        <v>23</v>
      </c>
      <c r="F613" s="35" t="s">
        <v>234</v>
      </c>
      <c r="G613" s="35" t="s">
        <v>219</v>
      </c>
      <c r="H613" s="35" t="s">
        <v>210</v>
      </c>
      <c r="I613" s="35" t="s">
        <v>201</v>
      </c>
      <c r="J613" s="35" t="n">
        <v>4</v>
      </c>
      <c r="K613" s="65" t="n">
        <v>27448.01</v>
      </c>
      <c r="L613" s="65" t="n">
        <v>109792.04</v>
      </c>
      <c r="M613" s="66" t="n">
        <f aca="false">DATE(YEAR(B613),MONTH(B613),1)</f>
        <v>45809</v>
      </c>
      <c r="N613" s="35" t="str">
        <f aca="false">IF(G613="","Unknown",G613)</f>
        <v>Mumbai</v>
      </c>
      <c r="O613" s="35" t="str">
        <f aca="false">IF(E613="","Unknown",IF(E613&lt;=25,"18-25",IF(E613&lt;=35,"26-35",IF(E613&lt;=45,"36-45",IF(E613&lt;=55,"46-55","56-65")))))</f>
        <v>18-25</v>
      </c>
      <c r="P613" s="35" t="n">
        <f aca="false">COUNTIF($C$2:$C$1001,C613)</f>
        <v>1</v>
      </c>
      <c r="Q613" s="35" t="n">
        <f aca="false">IF(COUNTIF($C$2:C613,C613)=1,1,0)</f>
        <v>1</v>
      </c>
    </row>
    <row r="614" customFormat="false" ht="15" hidden="false" customHeight="false" outlineLevel="0" collapsed="false">
      <c r="A614" s="35" t="s">
        <v>1808</v>
      </c>
      <c r="B614" s="64" t="n">
        <v>45783</v>
      </c>
      <c r="C614" s="35" t="s">
        <v>1809</v>
      </c>
      <c r="D614" s="35" t="s">
        <v>1446</v>
      </c>
      <c r="E614" s="35" t="n">
        <v>39</v>
      </c>
      <c r="F614" s="35" t="s">
        <v>235</v>
      </c>
      <c r="G614" s="35" t="s">
        <v>221</v>
      </c>
      <c r="H614" s="35" t="s">
        <v>210</v>
      </c>
      <c r="I614" s="35" t="s">
        <v>201</v>
      </c>
      <c r="J614" s="35" t="n">
        <v>4</v>
      </c>
      <c r="K614" s="65" t="n">
        <v>5518.35</v>
      </c>
      <c r="L614" s="65" t="n">
        <v>22073.4</v>
      </c>
      <c r="M614" s="66" t="n">
        <f aca="false">DATE(YEAR(B614),MONTH(B614),1)</f>
        <v>45778</v>
      </c>
      <c r="N614" s="35" t="str">
        <f aca="false">IF(G614="","Unknown",G614)</f>
        <v>Delhi</v>
      </c>
      <c r="O614" s="35" t="str">
        <f aca="false">IF(E614="","Unknown",IF(E614&lt;=25,"18-25",IF(E614&lt;=35,"26-35",IF(E614&lt;=45,"36-45",IF(E614&lt;=55,"46-55","56-65")))))</f>
        <v>36-45</v>
      </c>
      <c r="P614" s="35" t="n">
        <f aca="false">COUNTIF($C$2:$C$1001,C614)</f>
        <v>1</v>
      </c>
      <c r="Q614" s="35" t="n">
        <f aca="false">IF(COUNTIF($C$2:C614,C614)=1,1,0)</f>
        <v>1</v>
      </c>
    </row>
    <row r="615" customFormat="false" ht="15" hidden="false" customHeight="false" outlineLevel="0" collapsed="false">
      <c r="A615" s="35" t="s">
        <v>1810</v>
      </c>
      <c r="B615" s="64" t="n">
        <v>45742</v>
      </c>
      <c r="C615" s="35" t="s">
        <v>1811</v>
      </c>
      <c r="D615" s="35" t="s">
        <v>338</v>
      </c>
      <c r="E615" s="35" t="n">
        <v>31</v>
      </c>
      <c r="F615" s="35" t="s">
        <v>235</v>
      </c>
      <c r="G615" s="35" t="s">
        <v>221</v>
      </c>
      <c r="H615" s="35" t="s">
        <v>210</v>
      </c>
      <c r="I615" s="35" t="s">
        <v>201</v>
      </c>
      <c r="J615" s="35" t="n">
        <v>9</v>
      </c>
      <c r="K615" s="65" t="n">
        <v>39988.02</v>
      </c>
      <c r="L615" s="65" t="n">
        <v>359892.18</v>
      </c>
      <c r="M615" s="66" t="n">
        <f aca="false">DATE(YEAR(B615),MONTH(B615),1)</f>
        <v>45717</v>
      </c>
      <c r="N615" s="35" t="str">
        <f aca="false">IF(G615="","Unknown",G615)</f>
        <v>Delhi</v>
      </c>
      <c r="O615" s="35" t="str">
        <f aca="false">IF(E615="","Unknown",IF(E615&lt;=25,"18-25",IF(E615&lt;=35,"26-35",IF(E615&lt;=45,"36-45",IF(E615&lt;=55,"46-55","56-65")))))</f>
        <v>26-35</v>
      </c>
      <c r="P615" s="35" t="n">
        <f aca="false">COUNTIF($C$2:$C$1001,C615)</f>
        <v>1</v>
      </c>
      <c r="Q615" s="35" t="n">
        <f aca="false">IF(COUNTIF($C$2:C615,C615)=1,1,0)</f>
        <v>1</v>
      </c>
    </row>
    <row r="616" customFormat="false" ht="15" hidden="false" customHeight="false" outlineLevel="0" collapsed="false">
      <c r="A616" s="35" t="s">
        <v>1812</v>
      </c>
      <c r="B616" s="64" t="n">
        <v>46001</v>
      </c>
      <c r="C616" s="35" t="s">
        <v>1813</v>
      </c>
      <c r="D616" s="35" t="s">
        <v>1376</v>
      </c>
      <c r="E616" s="35" t="n">
        <v>36</v>
      </c>
      <c r="F616" s="35" t="s">
        <v>234</v>
      </c>
      <c r="G616" s="35" t="s">
        <v>218</v>
      </c>
      <c r="H616" s="35" t="s">
        <v>213</v>
      </c>
      <c r="I616" s="35" t="s">
        <v>204</v>
      </c>
      <c r="J616" s="35" t="n">
        <v>3</v>
      </c>
      <c r="K616" s="65" t="n">
        <v>23079.96</v>
      </c>
      <c r="L616" s="65" t="n">
        <v>69239.88</v>
      </c>
      <c r="M616" s="66" t="n">
        <f aca="false">DATE(YEAR(B616),MONTH(B616),1)</f>
        <v>45992</v>
      </c>
      <c r="N616" s="35" t="str">
        <f aca="false">IF(G616="","Unknown",G616)</f>
        <v>Bengaluru</v>
      </c>
      <c r="O616" s="35" t="str">
        <f aca="false">IF(E616="","Unknown",IF(E616&lt;=25,"18-25",IF(E616&lt;=35,"26-35",IF(E616&lt;=45,"36-45",IF(E616&lt;=55,"46-55","56-65")))))</f>
        <v>36-45</v>
      </c>
      <c r="P616" s="35" t="n">
        <f aca="false">COUNTIF($C$2:$C$1001,C616)</f>
        <v>1</v>
      </c>
      <c r="Q616" s="35" t="n">
        <f aca="false">IF(COUNTIF($C$2:C616,C616)=1,1,0)</f>
        <v>1</v>
      </c>
    </row>
    <row r="617" customFormat="false" ht="15" hidden="false" customHeight="false" outlineLevel="0" collapsed="false">
      <c r="A617" s="35" t="s">
        <v>1814</v>
      </c>
      <c r="B617" s="64" t="n">
        <v>45812</v>
      </c>
      <c r="C617" s="35" t="s">
        <v>1815</v>
      </c>
      <c r="D617" s="35" t="s">
        <v>1126</v>
      </c>
      <c r="E617" s="35" t="n">
        <v>41</v>
      </c>
      <c r="F617" s="35" t="s">
        <v>235</v>
      </c>
      <c r="G617" s="35" t="s">
        <v>217</v>
      </c>
      <c r="H617" s="35" t="s">
        <v>210</v>
      </c>
      <c r="I617" s="35" t="s">
        <v>201</v>
      </c>
      <c r="J617" s="35" t="n">
        <v>9</v>
      </c>
      <c r="K617" s="65" t="n">
        <v>14044.67</v>
      </c>
      <c r="L617" s="65" t="n">
        <v>126402.03</v>
      </c>
      <c r="M617" s="66" t="n">
        <f aca="false">DATE(YEAR(B617),MONTH(B617),1)</f>
        <v>45809</v>
      </c>
      <c r="N617" s="35" t="str">
        <f aca="false">IF(G617="","Unknown",G617)</f>
        <v>Kolkata</v>
      </c>
      <c r="O617" s="35" t="str">
        <f aca="false">IF(E617="","Unknown",IF(E617&lt;=25,"18-25",IF(E617&lt;=35,"26-35",IF(E617&lt;=45,"36-45",IF(E617&lt;=55,"46-55","56-65")))))</f>
        <v>36-45</v>
      </c>
      <c r="P617" s="35" t="n">
        <f aca="false">COUNTIF($C$2:$C$1001,C617)</f>
        <v>1</v>
      </c>
      <c r="Q617" s="35" t="n">
        <f aca="false">IF(COUNTIF($C$2:C617,C617)=1,1,0)</f>
        <v>1</v>
      </c>
    </row>
    <row r="618" customFormat="false" ht="15" hidden="false" customHeight="false" outlineLevel="0" collapsed="false">
      <c r="A618" s="35" t="s">
        <v>1816</v>
      </c>
      <c r="B618" s="64" t="n">
        <v>45852</v>
      </c>
      <c r="C618" s="35" t="s">
        <v>1817</v>
      </c>
      <c r="D618" s="35" t="s">
        <v>373</v>
      </c>
      <c r="E618" s="35" t="n">
        <v>33</v>
      </c>
      <c r="F618" s="35" t="s">
        <v>235</v>
      </c>
      <c r="G618" s="35" t="s">
        <v>222</v>
      </c>
      <c r="H618" s="35" t="s">
        <v>213</v>
      </c>
      <c r="I618" s="35" t="s">
        <v>204</v>
      </c>
      <c r="J618" s="35" t="n">
        <v>2</v>
      </c>
      <c r="K618" s="65" t="n">
        <v>43693.36</v>
      </c>
      <c r="L618" s="65" t="n">
        <v>87386.72</v>
      </c>
      <c r="M618" s="66" t="n">
        <f aca="false">DATE(YEAR(B618),MONTH(B618),1)</f>
        <v>45839</v>
      </c>
      <c r="N618" s="35" t="str">
        <f aca="false">IF(G618="","Unknown",G618)</f>
        <v>Pune</v>
      </c>
      <c r="O618" s="35" t="str">
        <f aca="false">IF(E618="","Unknown",IF(E618&lt;=25,"18-25",IF(E618&lt;=35,"26-35",IF(E618&lt;=45,"36-45",IF(E618&lt;=55,"46-55","56-65")))))</f>
        <v>26-35</v>
      </c>
      <c r="P618" s="35" t="n">
        <f aca="false">COUNTIF($C$2:$C$1001,C618)</f>
        <v>1</v>
      </c>
      <c r="Q618" s="35" t="n">
        <f aca="false">IF(COUNTIF($C$2:C618,C618)=1,1,0)</f>
        <v>1</v>
      </c>
    </row>
    <row r="619" customFormat="false" ht="15" hidden="false" customHeight="false" outlineLevel="0" collapsed="false">
      <c r="A619" s="35" t="s">
        <v>1818</v>
      </c>
      <c r="B619" s="64" t="n">
        <v>46008</v>
      </c>
      <c r="C619" s="35" t="s">
        <v>1819</v>
      </c>
      <c r="D619" s="35" t="s">
        <v>584</v>
      </c>
      <c r="E619" s="35" t="n">
        <v>41</v>
      </c>
      <c r="F619" s="35" t="s">
        <v>234</v>
      </c>
      <c r="G619" s="35" t="s">
        <v>217</v>
      </c>
      <c r="H619" s="35" t="s">
        <v>211</v>
      </c>
      <c r="I619" s="35" t="s">
        <v>202</v>
      </c>
      <c r="J619" s="35" t="n">
        <v>2</v>
      </c>
      <c r="K619" s="65" t="n">
        <v>14181.47</v>
      </c>
      <c r="L619" s="65" t="n">
        <v>28362.94</v>
      </c>
      <c r="M619" s="66" t="n">
        <f aca="false">DATE(YEAR(B619),MONTH(B619),1)</f>
        <v>45992</v>
      </c>
      <c r="N619" s="35" t="str">
        <f aca="false">IF(G619="","Unknown",G619)</f>
        <v>Kolkata</v>
      </c>
      <c r="O619" s="35" t="str">
        <f aca="false">IF(E619="","Unknown",IF(E619&lt;=25,"18-25",IF(E619&lt;=35,"26-35",IF(E619&lt;=45,"36-45",IF(E619&lt;=55,"46-55","56-65")))))</f>
        <v>36-45</v>
      </c>
      <c r="P619" s="35" t="n">
        <f aca="false">COUNTIF($C$2:$C$1001,C619)</f>
        <v>1</v>
      </c>
      <c r="Q619" s="35" t="n">
        <f aca="false">IF(COUNTIF($C$2:C619,C619)=1,1,0)</f>
        <v>1</v>
      </c>
    </row>
    <row r="620" customFormat="false" ht="15" hidden="false" customHeight="false" outlineLevel="0" collapsed="false">
      <c r="A620" s="35" t="s">
        <v>1820</v>
      </c>
      <c r="B620" s="64" t="n">
        <v>45941</v>
      </c>
      <c r="C620" s="35" t="s">
        <v>1821</v>
      </c>
      <c r="D620" s="35" t="s">
        <v>1094</v>
      </c>
      <c r="E620" s="35" t="n">
        <v>47</v>
      </c>
      <c r="F620" s="35" t="s">
        <v>235</v>
      </c>
      <c r="G620" s="35" t="s">
        <v>217</v>
      </c>
      <c r="H620" s="35" t="s">
        <v>213</v>
      </c>
      <c r="I620" s="35" t="s">
        <v>204</v>
      </c>
      <c r="J620" s="35" t="n">
        <v>4</v>
      </c>
      <c r="K620" s="65" t="n">
        <v>28783.13</v>
      </c>
      <c r="L620" s="65" t="n">
        <v>115132.52</v>
      </c>
      <c r="M620" s="66" t="n">
        <f aca="false">DATE(YEAR(B620),MONTH(B620),1)</f>
        <v>45931</v>
      </c>
      <c r="N620" s="35" t="str">
        <f aca="false">IF(G620="","Unknown",G620)</f>
        <v>Kolkata</v>
      </c>
      <c r="O620" s="35" t="str">
        <f aca="false">IF(E620="","Unknown",IF(E620&lt;=25,"18-25",IF(E620&lt;=35,"26-35",IF(E620&lt;=45,"36-45",IF(E620&lt;=55,"46-55","56-65")))))</f>
        <v>46-55</v>
      </c>
      <c r="P620" s="35" t="n">
        <f aca="false">COUNTIF($C$2:$C$1001,C620)</f>
        <v>1</v>
      </c>
      <c r="Q620" s="35" t="n">
        <f aca="false">IF(COUNTIF($C$2:C620,C620)=1,1,0)</f>
        <v>1</v>
      </c>
    </row>
    <row r="621" customFormat="false" ht="15" hidden="false" customHeight="false" outlineLevel="0" collapsed="false">
      <c r="A621" s="35" t="s">
        <v>1822</v>
      </c>
      <c r="B621" s="64" t="n">
        <v>46016</v>
      </c>
      <c r="C621" s="35" t="s">
        <v>1823</v>
      </c>
      <c r="D621" s="35" t="s">
        <v>1824</v>
      </c>
      <c r="E621" s="35" t="n">
        <v>61</v>
      </c>
      <c r="F621" s="35" t="s">
        <v>235</v>
      </c>
      <c r="G621" s="35" t="s">
        <v>223</v>
      </c>
      <c r="H621" s="35" t="s">
        <v>212</v>
      </c>
      <c r="I621" s="35" t="s">
        <v>203</v>
      </c>
      <c r="J621" s="35" t="n">
        <v>2</v>
      </c>
      <c r="K621" s="65" t="n">
        <v>32432.65</v>
      </c>
      <c r="L621" s="65" t="n">
        <v>64865.3</v>
      </c>
      <c r="M621" s="66" t="n">
        <f aca="false">DATE(YEAR(B621),MONTH(B621),1)</f>
        <v>45992</v>
      </c>
      <c r="N621" s="35" t="str">
        <f aca="false">IF(G621="","Unknown",G621)</f>
        <v>Gaya</v>
      </c>
      <c r="O621" s="35" t="str">
        <f aca="false">IF(E621="","Unknown",IF(E621&lt;=25,"18-25",IF(E621&lt;=35,"26-35",IF(E621&lt;=45,"36-45",IF(E621&lt;=55,"46-55","56-65")))))</f>
        <v>56-65</v>
      </c>
      <c r="P621" s="35" t="n">
        <f aca="false">COUNTIF($C$2:$C$1001,C621)</f>
        <v>1</v>
      </c>
      <c r="Q621" s="35" t="n">
        <f aca="false">IF(COUNTIF($C$2:C621,C621)=1,1,0)</f>
        <v>1</v>
      </c>
    </row>
    <row r="622" customFormat="false" ht="15" hidden="false" customHeight="false" outlineLevel="0" collapsed="false">
      <c r="A622" s="35" t="s">
        <v>1825</v>
      </c>
      <c r="B622" s="64" t="n">
        <v>45788</v>
      </c>
      <c r="C622" s="35" t="s">
        <v>1826</v>
      </c>
      <c r="D622" s="35" t="s">
        <v>406</v>
      </c>
      <c r="E622" s="35" t="n">
        <v>57</v>
      </c>
      <c r="F622" s="35" t="s">
        <v>234</v>
      </c>
      <c r="G622" s="35" t="s">
        <v>216</v>
      </c>
      <c r="H622" s="35" t="s">
        <v>208</v>
      </c>
      <c r="I622" s="35" t="s">
        <v>200</v>
      </c>
      <c r="J622" s="35" t="n">
        <v>4</v>
      </c>
      <c r="K622" s="65" t="n">
        <v>29976.58</v>
      </c>
      <c r="L622" s="65" t="n">
        <v>119906.32</v>
      </c>
      <c r="M622" s="66" t="n">
        <f aca="false">DATE(YEAR(B622),MONTH(B622),1)</f>
        <v>45778</v>
      </c>
      <c r="N622" s="35" t="str">
        <f aca="false">IF(G622="","Unknown",G622)</f>
        <v>Patna</v>
      </c>
      <c r="O622" s="35" t="str">
        <f aca="false">IF(E622="","Unknown",IF(E622&lt;=25,"18-25",IF(E622&lt;=35,"26-35",IF(E622&lt;=45,"36-45",IF(E622&lt;=55,"46-55","56-65")))))</f>
        <v>56-65</v>
      </c>
      <c r="P622" s="35" t="n">
        <f aca="false">COUNTIF($C$2:$C$1001,C622)</f>
        <v>1</v>
      </c>
      <c r="Q622" s="35" t="n">
        <f aca="false">IF(COUNTIF($C$2:C622,C622)=1,1,0)</f>
        <v>1</v>
      </c>
    </row>
    <row r="623" customFormat="false" ht="15" hidden="false" customHeight="false" outlineLevel="0" collapsed="false">
      <c r="A623" s="35" t="s">
        <v>1827</v>
      </c>
      <c r="B623" s="64" t="n">
        <v>45701</v>
      </c>
      <c r="C623" s="35" t="s">
        <v>1828</v>
      </c>
      <c r="D623" s="35" t="s">
        <v>1829</v>
      </c>
      <c r="E623" s="35" t="n">
        <v>62</v>
      </c>
      <c r="F623" s="35" t="s">
        <v>235</v>
      </c>
      <c r="G623" s="35" t="s">
        <v>220</v>
      </c>
      <c r="H623" s="35" t="s">
        <v>213</v>
      </c>
      <c r="I623" s="35" t="s">
        <v>204</v>
      </c>
      <c r="J623" s="35" t="n">
        <v>7</v>
      </c>
      <c r="K623" s="65" t="n">
        <v>38029.64</v>
      </c>
      <c r="L623" s="65" t="n">
        <v>266207.48</v>
      </c>
      <c r="M623" s="66" t="n">
        <f aca="false">DATE(YEAR(B623),MONTH(B623),1)</f>
        <v>45689</v>
      </c>
      <c r="N623" s="35" t="str">
        <f aca="false">IF(G623="","Unknown",G623)</f>
        <v>Hyderabad</v>
      </c>
      <c r="O623" s="35" t="str">
        <f aca="false">IF(E623="","Unknown",IF(E623&lt;=25,"18-25",IF(E623&lt;=35,"26-35",IF(E623&lt;=45,"36-45",IF(E623&lt;=55,"46-55","56-65")))))</f>
        <v>56-65</v>
      </c>
      <c r="P623" s="35" t="n">
        <f aca="false">COUNTIF($C$2:$C$1001,C623)</f>
        <v>1</v>
      </c>
      <c r="Q623" s="35" t="n">
        <f aca="false">IF(COUNTIF($C$2:C623,C623)=1,1,0)</f>
        <v>1</v>
      </c>
    </row>
    <row r="624" customFormat="false" ht="15" hidden="false" customHeight="false" outlineLevel="0" collapsed="false">
      <c r="A624" s="35" t="s">
        <v>1830</v>
      </c>
      <c r="B624" s="64" t="n">
        <v>45829</v>
      </c>
      <c r="C624" s="35" t="s">
        <v>1831</v>
      </c>
      <c r="D624" s="35" t="s">
        <v>1832</v>
      </c>
      <c r="E624" s="35" t="n">
        <v>54</v>
      </c>
      <c r="F624" s="35" t="s">
        <v>235</v>
      </c>
      <c r="G624" s="35" t="s">
        <v>220</v>
      </c>
      <c r="H624" s="35" t="s">
        <v>211</v>
      </c>
      <c r="I624" s="35" t="s">
        <v>202</v>
      </c>
      <c r="J624" s="35" t="n">
        <v>10</v>
      </c>
      <c r="K624" s="65" t="n">
        <v>48255.19</v>
      </c>
      <c r="L624" s="65" t="n">
        <v>482551.9</v>
      </c>
      <c r="M624" s="66" t="n">
        <f aca="false">DATE(YEAR(B624),MONTH(B624),1)</f>
        <v>45809</v>
      </c>
      <c r="N624" s="35" t="str">
        <f aca="false">IF(G624="","Unknown",G624)</f>
        <v>Hyderabad</v>
      </c>
      <c r="O624" s="35" t="str">
        <f aca="false">IF(E624="","Unknown",IF(E624&lt;=25,"18-25",IF(E624&lt;=35,"26-35",IF(E624&lt;=45,"36-45",IF(E624&lt;=55,"46-55","56-65")))))</f>
        <v>46-55</v>
      </c>
      <c r="P624" s="35" t="n">
        <f aca="false">COUNTIF($C$2:$C$1001,C624)</f>
        <v>1</v>
      </c>
      <c r="Q624" s="35" t="n">
        <f aca="false">IF(COUNTIF($C$2:C624,C624)=1,1,0)</f>
        <v>1</v>
      </c>
    </row>
    <row r="625" customFormat="false" ht="15" hidden="false" customHeight="false" outlineLevel="0" collapsed="false">
      <c r="A625" s="35" t="s">
        <v>1833</v>
      </c>
      <c r="B625" s="64" t="n">
        <v>45827</v>
      </c>
      <c r="C625" s="35" t="s">
        <v>695</v>
      </c>
      <c r="D625" s="35" t="s">
        <v>450</v>
      </c>
      <c r="E625" s="35" t="n">
        <v>46</v>
      </c>
      <c r="F625" s="35" t="s">
        <v>234</v>
      </c>
      <c r="G625" s="35" t="s">
        <v>219</v>
      </c>
      <c r="H625" s="35" t="s">
        <v>208</v>
      </c>
      <c r="I625" s="35" t="s">
        <v>200</v>
      </c>
      <c r="J625" s="35" t="n">
        <v>9</v>
      </c>
      <c r="K625" s="65" t="n">
        <v>27971.17</v>
      </c>
      <c r="L625" s="65" t="n">
        <v>251740.53</v>
      </c>
      <c r="M625" s="66" t="n">
        <f aca="false">DATE(YEAR(B625),MONTH(B625),1)</f>
        <v>45809</v>
      </c>
      <c r="N625" s="35" t="str">
        <f aca="false">IF(G625="","Unknown",G625)</f>
        <v>Mumbai</v>
      </c>
      <c r="O625" s="35" t="str">
        <f aca="false">IF(E625="","Unknown",IF(E625&lt;=25,"18-25",IF(E625&lt;=35,"26-35",IF(E625&lt;=45,"36-45",IF(E625&lt;=55,"46-55","56-65")))))</f>
        <v>46-55</v>
      </c>
      <c r="P625" s="35" t="n">
        <f aca="false">COUNTIF($C$2:$C$1001,C625)</f>
        <v>2</v>
      </c>
      <c r="Q625" s="35" t="n">
        <f aca="false">IF(COUNTIF($C$2:C625,C625)=1,1,0)</f>
        <v>0</v>
      </c>
    </row>
    <row r="626" customFormat="false" ht="15" hidden="false" customHeight="false" outlineLevel="0" collapsed="false">
      <c r="A626" s="35" t="s">
        <v>1834</v>
      </c>
      <c r="B626" s="64" t="n">
        <v>45987</v>
      </c>
      <c r="C626" s="35" t="s">
        <v>1835</v>
      </c>
      <c r="D626" s="35" t="s">
        <v>459</v>
      </c>
      <c r="E626" s="35" t="n">
        <v>30</v>
      </c>
      <c r="F626" s="35" t="s">
        <v>234</v>
      </c>
      <c r="G626" s="35" t="s">
        <v>223</v>
      </c>
      <c r="H626" s="35" t="s">
        <v>211</v>
      </c>
      <c r="I626" s="35" t="s">
        <v>202</v>
      </c>
      <c r="J626" s="35" t="n">
        <v>9</v>
      </c>
      <c r="K626" s="65" t="n">
        <v>46756.46</v>
      </c>
      <c r="L626" s="65" t="n">
        <v>420808.14</v>
      </c>
      <c r="M626" s="66" t="n">
        <f aca="false">DATE(YEAR(B626),MONTH(B626),1)</f>
        <v>45962</v>
      </c>
      <c r="N626" s="35" t="str">
        <f aca="false">IF(G626="","Unknown",G626)</f>
        <v>Gaya</v>
      </c>
      <c r="O626" s="35" t="str">
        <f aca="false">IF(E626="","Unknown",IF(E626&lt;=25,"18-25",IF(E626&lt;=35,"26-35",IF(E626&lt;=45,"36-45",IF(E626&lt;=55,"46-55","56-65")))))</f>
        <v>26-35</v>
      </c>
      <c r="P626" s="35" t="n">
        <f aca="false">COUNTIF($C$2:$C$1001,C626)</f>
        <v>1</v>
      </c>
      <c r="Q626" s="35" t="n">
        <f aca="false">IF(COUNTIF($C$2:C626,C626)=1,1,0)</f>
        <v>1</v>
      </c>
    </row>
    <row r="627" customFormat="false" ht="15" hidden="false" customHeight="false" outlineLevel="0" collapsed="false">
      <c r="A627" s="35" t="s">
        <v>1836</v>
      </c>
      <c r="B627" s="64" t="n">
        <v>45690</v>
      </c>
      <c r="C627" s="35" t="s">
        <v>1837</v>
      </c>
      <c r="D627" s="35" t="s">
        <v>1306</v>
      </c>
      <c r="E627" s="35" t="n">
        <v>20</v>
      </c>
      <c r="F627" s="35" t="s">
        <v>234</v>
      </c>
      <c r="G627" s="35" t="s">
        <v>220</v>
      </c>
      <c r="H627" s="35" t="s">
        <v>208</v>
      </c>
      <c r="I627" s="35" t="s">
        <v>200</v>
      </c>
      <c r="J627" s="35" t="n">
        <v>3</v>
      </c>
      <c r="K627" s="65" t="n">
        <v>47466.18</v>
      </c>
      <c r="L627" s="65" t="n">
        <v>142398.54</v>
      </c>
      <c r="M627" s="66" t="n">
        <f aca="false">DATE(YEAR(B627),MONTH(B627),1)</f>
        <v>45689</v>
      </c>
      <c r="N627" s="35" t="str">
        <f aca="false">IF(G627="","Unknown",G627)</f>
        <v>Hyderabad</v>
      </c>
      <c r="O627" s="35" t="str">
        <f aca="false">IF(E627="","Unknown",IF(E627&lt;=25,"18-25",IF(E627&lt;=35,"26-35",IF(E627&lt;=45,"36-45",IF(E627&lt;=55,"46-55","56-65")))))</f>
        <v>18-25</v>
      </c>
      <c r="P627" s="35" t="n">
        <f aca="false">COUNTIF($C$2:$C$1001,C627)</f>
        <v>1</v>
      </c>
      <c r="Q627" s="35" t="n">
        <f aca="false">IF(COUNTIF($C$2:C627,C627)=1,1,0)</f>
        <v>1</v>
      </c>
    </row>
    <row r="628" customFormat="false" ht="15" hidden="false" customHeight="false" outlineLevel="0" collapsed="false">
      <c r="A628" s="35" t="s">
        <v>1838</v>
      </c>
      <c r="B628" s="64" t="n">
        <v>45821</v>
      </c>
      <c r="C628" s="35" t="s">
        <v>1839</v>
      </c>
      <c r="D628" s="35" t="s">
        <v>1267</v>
      </c>
      <c r="E628" s="35" t="n">
        <v>38</v>
      </c>
      <c r="F628" s="35" t="s">
        <v>234</v>
      </c>
      <c r="G628" s="35" t="s">
        <v>221</v>
      </c>
      <c r="H628" s="35" t="s">
        <v>213</v>
      </c>
      <c r="I628" s="35" t="s">
        <v>204</v>
      </c>
      <c r="J628" s="35" t="n">
        <v>1</v>
      </c>
      <c r="K628" s="65" t="n">
        <v>33193.9</v>
      </c>
      <c r="L628" s="65" t="n">
        <v>33193.9</v>
      </c>
      <c r="M628" s="66" t="n">
        <f aca="false">DATE(YEAR(B628),MONTH(B628),1)</f>
        <v>45809</v>
      </c>
      <c r="N628" s="35" t="str">
        <f aca="false">IF(G628="","Unknown",G628)</f>
        <v>Delhi</v>
      </c>
      <c r="O628" s="35" t="str">
        <f aca="false">IF(E628="","Unknown",IF(E628&lt;=25,"18-25",IF(E628&lt;=35,"26-35",IF(E628&lt;=45,"36-45",IF(E628&lt;=55,"46-55","56-65")))))</f>
        <v>36-45</v>
      </c>
      <c r="P628" s="35" t="n">
        <f aca="false">COUNTIF($C$2:$C$1001,C628)</f>
        <v>1</v>
      </c>
      <c r="Q628" s="35" t="n">
        <f aca="false">IF(COUNTIF($C$2:C628,C628)=1,1,0)</f>
        <v>1</v>
      </c>
    </row>
    <row r="629" customFormat="false" ht="15" hidden="false" customHeight="false" outlineLevel="0" collapsed="false">
      <c r="A629" s="35" t="s">
        <v>1840</v>
      </c>
      <c r="B629" s="64" t="n">
        <v>45793</v>
      </c>
      <c r="C629" s="35" t="s">
        <v>1841</v>
      </c>
      <c r="D629" s="35" t="s">
        <v>1327</v>
      </c>
      <c r="E629" s="35" t="n">
        <v>62</v>
      </c>
      <c r="F629" s="35" t="s">
        <v>234</v>
      </c>
      <c r="G629" s="35" t="s">
        <v>219</v>
      </c>
      <c r="H629" s="35" t="s">
        <v>210</v>
      </c>
      <c r="I629" s="35" t="s">
        <v>201</v>
      </c>
      <c r="J629" s="35" t="n">
        <v>1</v>
      </c>
      <c r="K629" s="65" t="n">
        <v>46021.88</v>
      </c>
      <c r="L629" s="65" t="n">
        <v>46021.88</v>
      </c>
      <c r="M629" s="66" t="n">
        <f aca="false">DATE(YEAR(B629),MONTH(B629),1)</f>
        <v>45778</v>
      </c>
      <c r="N629" s="35" t="str">
        <f aca="false">IF(G629="","Unknown",G629)</f>
        <v>Mumbai</v>
      </c>
      <c r="O629" s="35" t="str">
        <f aca="false">IF(E629="","Unknown",IF(E629&lt;=25,"18-25",IF(E629&lt;=35,"26-35",IF(E629&lt;=45,"36-45",IF(E629&lt;=55,"46-55","56-65")))))</f>
        <v>56-65</v>
      </c>
      <c r="P629" s="35" t="n">
        <f aca="false">COUNTIF($C$2:$C$1001,C629)</f>
        <v>1</v>
      </c>
      <c r="Q629" s="35" t="n">
        <f aca="false">IF(COUNTIF($C$2:C629,C629)=1,1,0)</f>
        <v>1</v>
      </c>
    </row>
    <row r="630" customFormat="false" ht="15" hidden="false" customHeight="false" outlineLevel="0" collapsed="false">
      <c r="A630" s="35" t="s">
        <v>1842</v>
      </c>
      <c r="B630" s="64" t="n">
        <v>45728</v>
      </c>
      <c r="C630" s="35" t="s">
        <v>1843</v>
      </c>
      <c r="D630" s="35" t="s">
        <v>1687</v>
      </c>
      <c r="E630" s="35" t="n">
        <v>41</v>
      </c>
      <c r="F630" s="35" t="s">
        <v>234</v>
      </c>
      <c r="G630" s="35" t="s">
        <v>218</v>
      </c>
      <c r="H630" s="35" t="s">
        <v>211</v>
      </c>
      <c r="I630" s="35" t="s">
        <v>202</v>
      </c>
      <c r="J630" s="35" t="n">
        <v>7</v>
      </c>
      <c r="K630" s="65" t="n">
        <v>45512.65</v>
      </c>
      <c r="L630" s="65" t="n">
        <v>318588.55</v>
      </c>
      <c r="M630" s="66" t="n">
        <f aca="false">DATE(YEAR(B630),MONTH(B630),1)</f>
        <v>45717</v>
      </c>
      <c r="N630" s="35" t="str">
        <f aca="false">IF(G630="","Unknown",G630)</f>
        <v>Bengaluru</v>
      </c>
      <c r="O630" s="35" t="str">
        <f aca="false">IF(E630="","Unknown",IF(E630&lt;=25,"18-25",IF(E630&lt;=35,"26-35",IF(E630&lt;=45,"36-45",IF(E630&lt;=55,"46-55","56-65")))))</f>
        <v>36-45</v>
      </c>
      <c r="P630" s="35" t="n">
        <f aca="false">COUNTIF($C$2:$C$1001,C630)</f>
        <v>1</v>
      </c>
      <c r="Q630" s="35" t="n">
        <f aca="false">IF(COUNTIF($C$2:C630,C630)=1,1,0)</f>
        <v>1</v>
      </c>
    </row>
    <row r="631" customFormat="false" ht="15" hidden="false" customHeight="false" outlineLevel="0" collapsed="false">
      <c r="A631" s="35" t="s">
        <v>1844</v>
      </c>
      <c r="B631" s="64" t="n">
        <v>45904</v>
      </c>
      <c r="C631" s="35" t="s">
        <v>1845</v>
      </c>
      <c r="D631" s="35" t="s">
        <v>1728</v>
      </c>
      <c r="E631" s="35" t="n">
        <v>34</v>
      </c>
      <c r="F631" s="35" t="s">
        <v>234</v>
      </c>
      <c r="G631" s="35" t="s">
        <v>220</v>
      </c>
      <c r="H631" s="35" t="s">
        <v>212</v>
      </c>
      <c r="I631" s="35" t="s">
        <v>203</v>
      </c>
      <c r="J631" s="35" t="n">
        <v>9</v>
      </c>
      <c r="K631" s="65" t="n">
        <v>46924.58</v>
      </c>
      <c r="L631" s="65" t="n">
        <v>422321.22</v>
      </c>
      <c r="M631" s="66" t="n">
        <f aca="false">DATE(YEAR(B631),MONTH(B631),1)</f>
        <v>45901</v>
      </c>
      <c r="N631" s="35" t="str">
        <f aca="false">IF(G631="","Unknown",G631)</f>
        <v>Hyderabad</v>
      </c>
      <c r="O631" s="35" t="str">
        <f aca="false">IF(E631="","Unknown",IF(E631&lt;=25,"18-25",IF(E631&lt;=35,"26-35",IF(E631&lt;=45,"36-45",IF(E631&lt;=55,"46-55","56-65")))))</f>
        <v>26-35</v>
      </c>
      <c r="P631" s="35" t="n">
        <f aca="false">COUNTIF($C$2:$C$1001,C631)</f>
        <v>2</v>
      </c>
      <c r="Q631" s="35" t="n">
        <f aca="false">IF(COUNTIF($C$2:C631,C631)=1,1,0)</f>
        <v>1</v>
      </c>
    </row>
    <row r="632" customFormat="false" ht="15" hidden="false" customHeight="false" outlineLevel="0" collapsed="false">
      <c r="A632" s="35" t="s">
        <v>1846</v>
      </c>
      <c r="B632" s="64" t="n">
        <v>45718</v>
      </c>
      <c r="C632" s="35" t="s">
        <v>1847</v>
      </c>
      <c r="D632" s="35" t="s">
        <v>1824</v>
      </c>
      <c r="E632" s="35" t="n">
        <v>24</v>
      </c>
      <c r="F632" s="35" t="s">
        <v>234</v>
      </c>
      <c r="G632" s="35" t="s">
        <v>222</v>
      </c>
      <c r="H632" s="35" t="s">
        <v>213</v>
      </c>
      <c r="I632" s="35" t="s">
        <v>204</v>
      </c>
      <c r="J632" s="35" t="n">
        <v>3</v>
      </c>
      <c r="K632" s="65" t="n">
        <v>37343.19</v>
      </c>
      <c r="L632" s="65" t="n">
        <v>112029.57</v>
      </c>
      <c r="M632" s="66" t="n">
        <f aca="false">DATE(YEAR(B632),MONTH(B632),1)</f>
        <v>45717</v>
      </c>
      <c r="N632" s="35" t="str">
        <f aca="false">IF(G632="","Unknown",G632)</f>
        <v>Pune</v>
      </c>
      <c r="O632" s="35" t="str">
        <f aca="false">IF(E632="","Unknown",IF(E632&lt;=25,"18-25",IF(E632&lt;=35,"26-35",IF(E632&lt;=45,"36-45",IF(E632&lt;=55,"46-55","56-65")))))</f>
        <v>18-25</v>
      </c>
      <c r="P632" s="35" t="n">
        <f aca="false">COUNTIF($C$2:$C$1001,C632)</f>
        <v>1</v>
      </c>
      <c r="Q632" s="35" t="n">
        <f aca="false">IF(COUNTIF($C$2:C632,C632)=1,1,0)</f>
        <v>1</v>
      </c>
    </row>
    <row r="633" customFormat="false" ht="15" hidden="false" customHeight="false" outlineLevel="0" collapsed="false">
      <c r="A633" s="35" t="s">
        <v>1848</v>
      </c>
      <c r="B633" s="64" t="n">
        <v>45858</v>
      </c>
      <c r="C633" s="35" t="s">
        <v>996</v>
      </c>
      <c r="D633" s="35" t="s">
        <v>406</v>
      </c>
      <c r="E633" s="35" t="n">
        <v>27</v>
      </c>
      <c r="F633" s="35" t="s">
        <v>235</v>
      </c>
      <c r="G633" s="35" t="s">
        <v>216</v>
      </c>
      <c r="H633" s="35" t="s">
        <v>212</v>
      </c>
      <c r="I633" s="35" t="s">
        <v>203</v>
      </c>
      <c r="J633" s="35" t="n">
        <v>10</v>
      </c>
      <c r="K633" s="65" t="n">
        <v>14175.96</v>
      </c>
      <c r="L633" s="65" t="n">
        <v>141759.6</v>
      </c>
      <c r="M633" s="66" t="n">
        <f aca="false">DATE(YEAR(B633),MONTH(B633),1)</f>
        <v>45839</v>
      </c>
      <c r="N633" s="35" t="str">
        <f aca="false">IF(G633="","Unknown",G633)</f>
        <v>Patna</v>
      </c>
      <c r="O633" s="35" t="str">
        <f aca="false">IF(E633="","Unknown",IF(E633&lt;=25,"18-25",IF(E633&lt;=35,"26-35",IF(E633&lt;=45,"36-45",IF(E633&lt;=55,"46-55","56-65")))))</f>
        <v>26-35</v>
      </c>
      <c r="P633" s="35" t="n">
        <f aca="false">COUNTIF($C$2:$C$1001,C633)</f>
        <v>2</v>
      </c>
      <c r="Q633" s="35" t="n">
        <f aca="false">IF(COUNTIF($C$2:C633,C633)=1,1,0)</f>
        <v>0</v>
      </c>
    </row>
    <row r="634" customFormat="false" ht="15" hidden="false" customHeight="false" outlineLevel="0" collapsed="false">
      <c r="A634" s="35" t="s">
        <v>1849</v>
      </c>
      <c r="B634" s="64" t="n">
        <v>45729</v>
      </c>
      <c r="C634" s="35" t="s">
        <v>1850</v>
      </c>
      <c r="D634" s="35" t="s">
        <v>1610</v>
      </c>
      <c r="E634" s="35" t="n">
        <v>37</v>
      </c>
      <c r="F634" s="35" t="s">
        <v>234</v>
      </c>
      <c r="G634" s="35" t="s">
        <v>222</v>
      </c>
      <c r="H634" s="35" t="s">
        <v>213</v>
      </c>
      <c r="I634" s="35" t="s">
        <v>204</v>
      </c>
      <c r="J634" s="35" t="n">
        <v>8</v>
      </c>
      <c r="K634" s="65" t="n">
        <v>7259.89</v>
      </c>
      <c r="L634" s="65" t="n">
        <v>58079.12</v>
      </c>
      <c r="M634" s="66" t="n">
        <f aca="false">DATE(YEAR(B634),MONTH(B634),1)</f>
        <v>45717</v>
      </c>
      <c r="N634" s="35" t="str">
        <f aca="false">IF(G634="","Unknown",G634)</f>
        <v>Pune</v>
      </c>
      <c r="O634" s="35" t="str">
        <f aca="false">IF(E634="","Unknown",IF(E634&lt;=25,"18-25",IF(E634&lt;=35,"26-35",IF(E634&lt;=45,"36-45",IF(E634&lt;=55,"46-55","56-65")))))</f>
        <v>36-45</v>
      </c>
      <c r="P634" s="35" t="n">
        <f aca="false">COUNTIF($C$2:$C$1001,C634)</f>
        <v>1</v>
      </c>
      <c r="Q634" s="35" t="n">
        <f aca="false">IF(COUNTIF($C$2:C634,C634)=1,1,0)</f>
        <v>1</v>
      </c>
    </row>
    <row r="635" customFormat="false" ht="15" hidden="false" customHeight="false" outlineLevel="0" collapsed="false">
      <c r="A635" s="35" t="s">
        <v>1851</v>
      </c>
      <c r="B635" s="64" t="n">
        <v>45981</v>
      </c>
      <c r="C635" s="35" t="s">
        <v>1339</v>
      </c>
      <c r="D635" s="35" t="s">
        <v>293</v>
      </c>
      <c r="E635" s="35" t="n">
        <v>58</v>
      </c>
      <c r="F635" s="35" t="s">
        <v>234</v>
      </c>
      <c r="G635" s="35" t="s">
        <v>216</v>
      </c>
      <c r="H635" s="35" t="s">
        <v>212</v>
      </c>
      <c r="I635" s="35" t="s">
        <v>203</v>
      </c>
      <c r="J635" s="35" t="n">
        <v>3</v>
      </c>
      <c r="K635" s="65" t="n">
        <v>257.28</v>
      </c>
      <c r="L635" s="65" t="n">
        <v>771.84</v>
      </c>
      <c r="M635" s="66" t="n">
        <f aca="false">DATE(YEAR(B635),MONTH(B635),1)</f>
        <v>45962</v>
      </c>
      <c r="N635" s="35" t="str">
        <f aca="false">IF(G635="","Unknown",G635)</f>
        <v>Patna</v>
      </c>
      <c r="O635" s="35" t="str">
        <f aca="false">IF(E635="","Unknown",IF(E635&lt;=25,"18-25",IF(E635&lt;=35,"26-35",IF(E635&lt;=45,"36-45",IF(E635&lt;=55,"46-55","56-65")))))</f>
        <v>56-65</v>
      </c>
      <c r="P635" s="35" t="n">
        <f aca="false">COUNTIF($C$2:$C$1001,C635)</f>
        <v>2</v>
      </c>
      <c r="Q635" s="35" t="n">
        <f aca="false">IF(COUNTIF($C$2:C635,C635)=1,1,0)</f>
        <v>0</v>
      </c>
    </row>
    <row r="636" customFormat="false" ht="15" hidden="false" customHeight="false" outlineLevel="0" collapsed="false">
      <c r="A636" s="35" t="s">
        <v>1852</v>
      </c>
      <c r="B636" s="64" t="n">
        <v>45787</v>
      </c>
      <c r="C636" s="35" t="s">
        <v>1853</v>
      </c>
      <c r="D636" s="35" t="s">
        <v>1317</v>
      </c>
      <c r="E636" s="35" t="n">
        <v>18</v>
      </c>
      <c r="F636" s="35" t="s">
        <v>234</v>
      </c>
      <c r="G636" s="35" t="s">
        <v>217</v>
      </c>
      <c r="H636" s="35" t="s">
        <v>213</v>
      </c>
      <c r="I636" s="35" t="s">
        <v>204</v>
      </c>
      <c r="J636" s="35" t="n">
        <v>4</v>
      </c>
      <c r="K636" s="65" t="n">
        <v>24291.82</v>
      </c>
      <c r="L636" s="65" t="n">
        <v>97167.28</v>
      </c>
      <c r="M636" s="66" t="n">
        <f aca="false">DATE(YEAR(B636),MONTH(B636),1)</f>
        <v>45778</v>
      </c>
      <c r="N636" s="35" t="str">
        <f aca="false">IF(G636="","Unknown",G636)</f>
        <v>Kolkata</v>
      </c>
      <c r="O636" s="35" t="str">
        <f aca="false">IF(E636="","Unknown",IF(E636&lt;=25,"18-25",IF(E636&lt;=35,"26-35",IF(E636&lt;=45,"36-45",IF(E636&lt;=55,"46-55","56-65")))))</f>
        <v>18-25</v>
      </c>
      <c r="P636" s="35" t="n">
        <f aca="false">COUNTIF($C$2:$C$1001,C636)</f>
        <v>1</v>
      </c>
      <c r="Q636" s="35" t="n">
        <f aca="false">IF(COUNTIF($C$2:C636,C636)=1,1,0)</f>
        <v>1</v>
      </c>
    </row>
    <row r="637" customFormat="false" ht="15" hidden="false" customHeight="false" outlineLevel="0" collapsed="false">
      <c r="A637" s="35" t="s">
        <v>1854</v>
      </c>
      <c r="B637" s="64" t="n">
        <v>45726</v>
      </c>
      <c r="C637" s="35" t="s">
        <v>1855</v>
      </c>
      <c r="D637" s="35" t="s">
        <v>1856</v>
      </c>
      <c r="E637" s="35" t="n">
        <v>31</v>
      </c>
      <c r="F637" s="35" t="s">
        <v>234</v>
      </c>
      <c r="G637" s="35" t="s">
        <v>216</v>
      </c>
      <c r="H637" s="35" t="s">
        <v>211</v>
      </c>
      <c r="I637" s="35" t="s">
        <v>202</v>
      </c>
      <c r="J637" s="35" t="n">
        <v>2</v>
      </c>
      <c r="K637" s="65" t="n">
        <v>25919.18</v>
      </c>
      <c r="L637" s="65" t="n">
        <v>51838.36</v>
      </c>
      <c r="M637" s="66" t="n">
        <f aca="false">DATE(YEAR(B637),MONTH(B637),1)</f>
        <v>45717</v>
      </c>
      <c r="N637" s="35" t="str">
        <f aca="false">IF(G637="","Unknown",G637)</f>
        <v>Patna</v>
      </c>
      <c r="O637" s="35" t="str">
        <f aca="false">IF(E637="","Unknown",IF(E637&lt;=25,"18-25",IF(E637&lt;=35,"26-35",IF(E637&lt;=45,"36-45",IF(E637&lt;=55,"46-55","56-65")))))</f>
        <v>26-35</v>
      </c>
      <c r="P637" s="35" t="n">
        <f aca="false">COUNTIF($C$2:$C$1001,C637)</f>
        <v>1</v>
      </c>
      <c r="Q637" s="35" t="n">
        <f aca="false">IF(COUNTIF($C$2:C637,C637)=1,1,0)</f>
        <v>1</v>
      </c>
    </row>
    <row r="638" customFormat="false" ht="15" hidden="false" customHeight="false" outlineLevel="0" collapsed="false">
      <c r="A638" s="35" t="s">
        <v>1857</v>
      </c>
      <c r="B638" s="64" t="n">
        <v>45743</v>
      </c>
      <c r="C638" s="35" t="s">
        <v>1146</v>
      </c>
      <c r="D638" s="35" t="s">
        <v>744</v>
      </c>
      <c r="E638" s="35" t="n">
        <v>19</v>
      </c>
      <c r="F638" s="35" t="s">
        <v>234</v>
      </c>
      <c r="G638" s="35" t="s">
        <v>218</v>
      </c>
      <c r="H638" s="35" t="s">
        <v>211</v>
      </c>
      <c r="I638" s="35" t="s">
        <v>202</v>
      </c>
      <c r="J638" s="35" t="n">
        <v>4</v>
      </c>
      <c r="K638" s="65" t="n">
        <v>24382.42</v>
      </c>
      <c r="L638" s="65" t="n">
        <v>97529.68</v>
      </c>
      <c r="M638" s="66" t="n">
        <f aca="false">DATE(YEAR(B638),MONTH(B638),1)</f>
        <v>45717</v>
      </c>
      <c r="N638" s="35" t="str">
        <f aca="false">IF(G638="","Unknown",G638)</f>
        <v>Bengaluru</v>
      </c>
      <c r="O638" s="35" t="str">
        <f aca="false">IF(E638="","Unknown",IF(E638&lt;=25,"18-25",IF(E638&lt;=35,"26-35",IF(E638&lt;=45,"36-45",IF(E638&lt;=55,"46-55","56-65")))))</f>
        <v>18-25</v>
      </c>
      <c r="P638" s="35" t="n">
        <f aca="false">COUNTIF($C$2:$C$1001,C638)</f>
        <v>2</v>
      </c>
      <c r="Q638" s="35" t="n">
        <f aca="false">IF(COUNTIF($C$2:C638,C638)=1,1,0)</f>
        <v>0</v>
      </c>
    </row>
    <row r="639" customFormat="false" ht="15" hidden="false" customHeight="false" outlineLevel="0" collapsed="false">
      <c r="A639" s="35" t="s">
        <v>1858</v>
      </c>
      <c r="B639" s="64" t="n">
        <v>45785</v>
      </c>
      <c r="C639" s="35" t="s">
        <v>1859</v>
      </c>
      <c r="D639" s="35" t="s">
        <v>281</v>
      </c>
      <c r="E639" s="35" t="n">
        <v>46</v>
      </c>
      <c r="F639" s="35" t="s">
        <v>235</v>
      </c>
      <c r="G639" s="35" t="s">
        <v>222</v>
      </c>
      <c r="H639" s="35" t="s">
        <v>213</v>
      </c>
      <c r="I639" s="35" t="s">
        <v>204</v>
      </c>
      <c r="J639" s="35" t="n">
        <v>1</v>
      </c>
      <c r="K639" s="65" t="n">
        <v>3971.35</v>
      </c>
      <c r="L639" s="65" t="n">
        <v>3971.35</v>
      </c>
      <c r="M639" s="66" t="n">
        <f aca="false">DATE(YEAR(B639),MONTH(B639),1)</f>
        <v>45778</v>
      </c>
      <c r="N639" s="35" t="str">
        <f aca="false">IF(G639="","Unknown",G639)</f>
        <v>Pune</v>
      </c>
      <c r="O639" s="35" t="str">
        <f aca="false">IF(E639="","Unknown",IF(E639&lt;=25,"18-25",IF(E639&lt;=35,"26-35",IF(E639&lt;=45,"36-45",IF(E639&lt;=55,"46-55","56-65")))))</f>
        <v>46-55</v>
      </c>
      <c r="P639" s="35" t="n">
        <f aca="false">COUNTIF($C$2:$C$1001,C639)</f>
        <v>1</v>
      </c>
      <c r="Q639" s="35" t="n">
        <f aca="false">IF(COUNTIF($C$2:C639,C639)=1,1,0)</f>
        <v>1</v>
      </c>
    </row>
    <row r="640" customFormat="false" ht="15" hidden="false" customHeight="false" outlineLevel="0" collapsed="false">
      <c r="A640" s="35" t="s">
        <v>1860</v>
      </c>
      <c r="B640" s="64" t="n">
        <v>45943</v>
      </c>
      <c r="C640" s="35" t="s">
        <v>1861</v>
      </c>
      <c r="D640" s="35" t="s">
        <v>1267</v>
      </c>
      <c r="E640" s="35" t="n">
        <v>22</v>
      </c>
      <c r="F640" s="35" t="s">
        <v>234</v>
      </c>
      <c r="G640" s="35" t="s">
        <v>223</v>
      </c>
      <c r="H640" s="35" t="s">
        <v>208</v>
      </c>
      <c r="I640" s="35" t="s">
        <v>200</v>
      </c>
      <c r="J640" s="35" t="n">
        <v>5</v>
      </c>
      <c r="K640" s="65" t="n">
        <v>7739.33</v>
      </c>
      <c r="L640" s="65" t="n">
        <v>38696.65</v>
      </c>
      <c r="M640" s="66" t="n">
        <f aca="false">DATE(YEAR(B640),MONTH(B640),1)</f>
        <v>45931</v>
      </c>
      <c r="N640" s="35" t="str">
        <f aca="false">IF(G640="","Unknown",G640)</f>
        <v>Gaya</v>
      </c>
      <c r="O640" s="35" t="str">
        <f aca="false">IF(E640="","Unknown",IF(E640&lt;=25,"18-25",IF(E640&lt;=35,"26-35",IF(E640&lt;=45,"36-45",IF(E640&lt;=55,"46-55","56-65")))))</f>
        <v>18-25</v>
      </c>
      <c r="P640" s="35" t="n">
        <f aca="false">COUNTIF($C$2:$C$1001,C640)</f>
        <v>1</v>
      </c>
      <c r="Q640" s="35" t="n">
        <f aca="false">IF(COUNTIF($C$2:C640,C640)=1,1,0)</f>
        <v>1</v>
      </c>
    </row>
    <row r="641" customFormat="false" ht="15" hidden="false" customHeight="false" outlineLevel="0" collapsed="false">
      <c r="A641" s="35" t="s">
        <v>1862</v>
      </c>
      <c r="B641" s="64" t="n">
        <v>45822</v>
      </c>
      <c r="C641" s="35" t="s">
        <v>967</v>
      </c>
      <c r="D641" s="35" t="s">
        <v>974</v>
      </c>
      <c r="E641" s="35" t="n">
        <v>32</v>
      </c>
      <c r="F641" s="35" t="s">
        <v>235</v>
      </c>
      <c r="G641" s="35" t="s">
        <v>221</v>
      </c>
      <c r="H641" s="35" t="s">
        <v>210</v>
      </c>
      <c r="I641" s="35" t="s">
        <v>201</v>
      </c>
      <c r="J641" s="35" t="n">
        <v>1</v>
      </c>
      <c r="K641" s="65" t="n">
        <v>34302.92</v>
      </c>
      <c r="L641" s="65" t="n">
        <v>34302.92</v>
      </c>
      <c r="M641" s="66" t="n">
        <f aca="false">DATE(YEAR(B641),MONTH(B641),1)</f>
        <v>45809</v>
      </c>
      <c r="N641" s="35" t="str">
        <f aca="false">IF(G641="","Unknown",G641)</f>
        <v>Delhi</v>
      </c>
      <c r="O641" s="35" t="str">
        <f aca="false">IF(E641="","Unknown",IF(E641&lt;=25,"18-25",IF(E641&lt;=35,"26-35",IF(E641&lt;=45,"36-45",IF(E641&lt;=55,"46-55","56-65")))))</f>
        <v>26-35</v>
      </c>
      <c r="P641" s="35" t="n">
        <f aca="false">COUNTIF($C$2:$C$1001,C641)</f>
        <v>2</v>
      </c>
      <c r="Q641" s="35" t="n">
        <f aca="false">IF(COUNTIF($C$2:C641,C641)=1,1,0)</f>
        <v>0</v>
      </c>
    </row>
    <row r="642" customFormat="false" ht="15" hidden="false" customHeight="false" outlineLevel="0" collapsed="false">
      <c r="A642" s="35" t="s">
        <v>1863</v>
      </c>
      <c r="B642" s="64" t="n">
        <v>45949</v>
      </c>
      <c r="C642" s="35" t="s">
        <v>1864</v>
      </c>
      <c r="D642" s="35" t="s">
        <v>666</v>
      </c>
      <c r="E642" s="35" t="n">
        <v>28</v>
      </c>
      <c r="F642" s="35" t="s">
        <v>235</v>
      </c>
      <c r="G642" s="35" t="s">
        <v>219</v>
      </c>
      <c r="H642" s="35" t="s">
        <v>211</v>
      </c>
      <c r="I642" s="35" t="s">
        <v>202</v>
      </c>
      <c r="J642" s="35" t="n">
        <v>1</v>
      </c>
      <c r="K642" s="65" t="n">
        <v>20626.25</v>
      </c>
      <c r="L642" s="65" t="n">
        <v>20626.25</v>
      </c>
      <c r="M642" s="66" t="n">
        <f aca="false">DATE(YEAR(B642),MONTH(B642),1)</f>
        <v>45931</v>
      </c>
      <c r="N642" s="35" t="str">
        <f aca="false">IF(G642="","Unknown",G642)</f>
        <v>Mumbai</v>
      </c>
      <c r="O642" s="35" t="str">
        <f aca="false">IF(E642="","Unknown",IF(E642&lt;=25,"18-25",IF(E642&lt;=35,"26-35",IF(E642&lt;=45,"36-45",IF(E642&lt;=55,"46-55","56-65")))))</f>
        <v>26-35</v>
      </c>
      <c r="P642" s="35" t="n">
        <f aca="false">COUNTIF($C$2:$C$1001,C642)</f>
        <v>1</v>
      </c>
      <c r="Q642" s="35" t="n">
        <f aca="false">IF(COUNTIF($C$2:C642,C642)=1,1,0)</f>
        <v>1</v>
      </c>
    </row>
    <row r="643" customFormat="false" ht="15" hidden="false" customHeight="false" outlineLevel="0" collapsed="false">
      <c r="A643" s="35" t="s">
        <v>1865</v>
      </c>
      <c r="B643" s="64" t="n">
        <v>45789</v>
      </c>
      <c r="C643" s="35" t="s">
        <v>1866</v>
      </c>
      <c r="D643" s="35" t="s">
        <v>660</v>
      </c>
      <c r="E643" s="35" t="n">
        <v>63</v>
      </c>
      <c r="F643" s="35" t="s">
        <v>235</v>
      </c>
      <c r="G643" s="35" t="s">
        <v>219</v>
      </c>
      <c r="H643" s="35" t="s">
        <v>208</v>
      </c>
      <c r="I643" s="35" t="s">
        <v>200</v>
      </c>
      <c r="J643" s="35" t="n">
        <v>9</v>
      </c>
      <c r="K643" s="65" t="n">
        <v>39545.61</v>
      </c>
      <c r="L643" s="65" t="n">
        <v>355910.49</v>
      </c>
      <c r="M643" s="66" t="n">
        <f aca="false">DATE(YEAR(B643),MONTH(B643),1)</f>
        <v>45778</v>
      </c>
      <c r="N643" s="35" t="str">
        <f aca="false">IF(G643="","Unknown",G643)</f>
        <v>Mumbai</v>
      </c>
      <c r="O643" s="35" t="str">
        <f aca="false">IF(E643="","Unknown",IF(E643&lt;=25,"18-25",IF(E643&lt;=35,"26-35",IF(E643&lt;=45,"36-45",IF(E643&lt;=55,"46-55","56-65")))))</f>
        <v>56-65</v>
      </c>
      <c r="P643" s="35" t="n">
        <f aca="false">COUNTIF($C$2:$C$1001,C643)</f>
        <v>2</v>
      </c>
      <c r="Q643" s="35" t="n">
        <f aca="false">IF(COUNTIF($C$2:C643,C643)=1,1,0)</f>
        <v>1</v>
      </c>
    </row>
    <row r="644" customFormat="false" ht="15" hidden="false" customHeight="false" outlineLevel="0" collapsed="false">
      <c r="A644" s="35" t="s">
        <v>1867</v>
      </c>
      <c r="B644" s="64" t="n">
        <v>45918</v>
      </c>
      <c r="C644" s="35" t="s">
        <v>1868</v>
      </c>
      <c r="D644" s="35" t="s">
        <v>1003</v>
      </c>
      <c r="E644" s="35" t="n">
        <v>30</v>
      </c>
      <c r="F644" s="35" t="s">
        <v>234</v>
      </c>
      <c r="G644" s="35" t="s">
        <v>217</v>
      </c>
      <c r="H644" s="35" t="s">
        <v>212</v>
      </c>
      <c r="I644" s="35" t="s">
        <v>203</v>
      </c>
      <c r="J644" s="35" t="n">
        <v>3</v>
      </c>
      <c r="K644" s="65" t="n">
        <v>23490.33</v>
      </c>
      <c r="L644" s="65" t="n">
        <v>70470.99</v>
      </c>
      <c r="M644" s="66" t="n">
        <f aca="false">DATE(YEAR(B644),MONTH(B644),1)</f>
        <v>45901</v>
      </c>
      <c r="N644" s="35" t="str">
        <f aca="false">IF(G644="","Unknown",G644)</f>
        <v>Kolkata</v>
      </c>
      <c r="O644" s="35" t="str">
        <f aca="false">IF(E644="","Unknown",IF(E644&lt;=25,"18-25",IF(E644&lt;=35,"26-35",IF(E644&lt;=45,"36-45",IF(E644&lt;=55,"46-55","56-65")))))</f>
        <v>26-35</v>
      </c>
      <c r="P644" s="35" t="n">
        <f aca="false">COUNTIF($C$2:$C$1001,C644)</f>
        <v>1</v>
      </c>
      <c r="Q644" s="35" t="n">
        <f aca="false">IF(COUNTIF($C$2:C644,C644)=1,1,0)</f>
        <v>1</v>
      </c>
    </row>
    <row r="645" customFormat="false" ht="15" hidden="false" customHeight="false" outlineLevel="0" collapsed="false">
      <c r="A645" s="35" t="s">
        <v>1869</v>
      </c>
      <c r="B645" s="64" t="n">
        <v>45781</v>
      </c>
      <c r="C645" s="35" t="s">
        <v>1870</v>
      </c>
      <c r="D645" s="35" t="s">
        <v>1871</v>
      </c>
      <c r="E645" s="35" t="n">
        <v>53</v>
      </c>
      <c r="F645" s="35" t="s">
        <v>234</v>
      </c>
      <c r="G645" s="35" t="s">
        <v>216</v>
      </c>
      <c r="H645" s="35" t="s">
        <v>212</v>
      </c>
      <c r="I645" s="35" t="s">
        <v>203</v>
      </c>
      <c r="J645" s="35" t="n">
        <v>6</v>
      </c>
      <c r="K645" s="65" t="n">
        <v>22343.44</v>
      </c>
      <c r="L645" s="65" t="n">
        <v>134060.64</v>
      </c>
      <c r="M645" s="66" t="n">
        <f aca="false">DATE(YEAR(B645),MONTH(B645),1)</f>
        <v>45778</v>
      </c>
      <c r="N645" s="35" t="str">
        <f aca="false">IF(G645="","Unknown",G645)</f>
        <v>Patna</v>
      </c>
      <c r="O645" s="35" t="str">
        <f aca="false">IF(E645="","Unknown",IF(E645&lt;=25,"18-25",IF(E645&lt;=35,"26-35",IF(E645&lt;=45,"36-45",IF(E645&lt;=55,"46-55","56-65")))))</f>
        <v>46-55</v>
      </c>
      <c r="P645" s="35" t="n">
        <f aca="false">COUNTIF($C$2:$C$1001,C645)</f>
        <v>1</v>
      </c>
      <c r="Q645" s="35" t="n">
        <f aca="false">IF(COUNTIF($C$2:C645,C645)=1,1,0)</f>
        <v>1</v>
      </c>
    </row>
    <row r="646" customFormat="false" ht="15" hidden="false" customHeight="false" outlineLevel="0" collapsed="false">
      <c r="A646" s="35" t="s">
        <v>1872</v>
      </c>
      <c r="B646" s="64" t="n">
        <v>45898</v>
      </c>
      <c r="C646" s="35" t="s">
        <v>1873</v>
      </c>
      <c r="D646" s="35" t="s">
        <v>1874</v>
      </c>
      <c r="E646" s="35" t="n">
        <v>42</v>
      </c>
      <c r="F646" s="35" t="s">
        <v>235</v>
      </c>
      <c r="G646" s="35" t="s">
        <v>221</v>
      </c>
      <c r="H646" s="35" t="s">
        <v>213</v>
      </c>
      <c r="I646" s="35" t="s">
        <v>204</v>
      </c>
      <c r="J646" s="35" t="n">
        <v>5</v>
      </c>
      <c r="K646" s="65" t="n">
        <v>16279.37</v>
      </c>
      <c r="L646" s="65" t="n">
        <v>81396.85</v>
      </c>
      <c r="M646" s="66" t="n">
        <f aca="false">DATE(YEAR(B646),MONTH(B646),1)</f>
        <v>45870</v>
      </c>
      <c r="N646" s="35" t="str">
        <f aca="false">IF(G646="","Unknown",G646)</f>
        <v>Delhi</v>
      </c>
      <c r="O646" s="35" t="str">
        <f aca="false">IF(E646="","Unknown",IF(E646&lt;=25,"18-25",IF(E646&lt;=35,"26-35",IF(E646&lt;=45,"36-45",IF(E646&lt;=55,"46-55","56-65")))))</f>
        <v>36-45</v>
      </c>
      <c r="P646" s="35" t="n">
        <f aca="false">COUNTIF($C$2:$C$1001,C646)</f>
        <v>1</v>
      </c>
      <c r="Q646" s="35" t="n">
        <f aca="false">IF(COUNTIF($C$2:C646,C646)=1,1,0)</f>
        <v>1</v>
      </c>
    </row>
    <row r="647" customFormat="false" ht="15" hidden="false" customHeight="false" outlineLevel="0" collapsed="false">
      <c r="A647" s="35" t="s">
        <v>1875</v>
      </c>
      <c r="B647" s="64" t="n">
        <v>46005</v>
      </c>
      <c r="C647" s="35" t="s">
        <v>1876</v>
      </c>
      <c r="D647" s="35" t="s">
        <v>326</v>
      </c>
      <c r="E647" s="35" t="n">
        <v>52</v>
      </c>
      <c r="F647" s="35" t="s">
        <v>234</v>
      </c>
      <c r="G647" s="35" t="s">
        <v>222</v>
      </c>
      <c r="H647" s="35" t="s">
        <v>208</v>
      </c>
      <c r="I647" s="35" t="s">
        <v>200</v>
      </c>
      <c r="J647" s="35" t="n">
        <v>4</v>
      </c>
      <c r="K647" s="65" t="n">
        <v>26566.32</v>
      </c>
      <c r="L647" s="65" t="n">
        <v>106265.28</v>
      </c>
      <c r="M647" s="66" t="n">
        <f aca="false">DATE(YEAR(B647),MONTH(B647),1)</f>
        <v>45992</v>
      </c>
      <c r="N647" s="35" t="str">
        <f aca="false">IF(G647="","Unknown",G647)</f>
        <v>Pune</v>
      </c>
      <c r="O647" s="35" t="str">
        <f aca="false">IF(E647="","Unknown",IF(E647&lt;=25,"18-25",IF(E647&lt;=35,"26-35",IF(E647&lt;=45,"36-45",IF(E647&lt;=55,"46-55","56-65")))))</f>
        <v>46-55</v>
      </c>
      <c r="P647" s="35" t="n">
        <f aca="false">COUNTIF($C$2:$C$1001,C647)</f>
        <v>1</v>
      </c>
      <c r="Q647" s="35" t="n">
        <f aca="false">IF(COUNTIF($C$2:C647,C647)=1,1,0)</f>
        <v>1</v>
      </c>
    </row>
    <row r="648" customFormat="false" ht="15" hidden="false" customHeight="false" outlineLevel="0" collapsed="false">
      <c r="A648" s="35" t="s">
        <v>1877</v>
      </c>
      <c r="B648" s="64" t="n">
        <v>45909</v>
      </c>
      <c r="C648" s="35" t="s">
        <v>1878</v>
      </c>
      <c r="D648" s="35" t="s">
        <v>1829</v>
      </c>
      <c r="E648" s="35" t="n">
        <v>62</v>
      </c>
      <c r="F648" s="35" t="s">
        <v>235</v>
      </c>
      <c r="G648" s="35" t="s">
        <v>216</v>
      </c>
      <c r="H648" s="35" t="s">
        <v>209</v>
      </c>
      <c r="I648" s="35" t="s">
        <v>200</v>
      </c>
      <c r="J648" s="35" t="n">
        <v>6</v>
      </c>
      <c r="K648" s="65" t="n">
        <v>1867.81</v>
      </c>
      <c r="L648" s="65" t="n">
        <v>11206.86</v>
      </c>
      <c r="M648" s="66" t="n">
        <f aca="false">DATE(YEAR(B648),MONTH(B648),1)</f>
        <v>45901</v>
      </c>
      <c r="N648" s="35" t="str">
        <f aca="false">IF(G648="","Unknown",G648)</f>
        <v>Patna</v>
      </c>
      <c r="O648" s="35" t="str">
        <f aca="false">IF(E648="","Unknown",IF(E648&lt;=25,"18-25",IF(E648&lt;=35,"26-35",IF(E648&lt;=45,"36-45",IF(E648&lt;=55,"46-55","56-65")))))</f>
        <v>56-65</v>
      </c>
      <c r="P648" s="35" t="n">
        <f aca="false">COUNTIF($C$2:$C$1001,C648)</f>
        <v>1</v>
      </c>
      <c r="Q648" s="35" t="n">
        <f aca="false">IF(COUNTIF($C$2:C648,C648)=1,1,0)</f>
        <v>1</v>
      </c>
    </row>
    <row r="649" customFormat="false" ht="15" hidden="false" customHeight="false" outlineLevel="0" collapsed="false">
      <c r="A649" s="35" t="s">
        <v>1879</v>
      </c>
      <c r="B649" s="64" t="n">
        <v>45663</v>
      </c>
      <c r="C649" s="35" t="s">
        <v>1880</v>
      </c>
      <c r="D649" s="35" t="s">
        <v>465</v>
      </c>
      <c r="E649" s="35" t="n">
        <v>53</v>
      </c>
      <c r="F649" s="35" t="s">
        <v>235</v>
      </c>
      <c r="G649" s="35" t="s">
        <v>221</v>
      </c>
      <c r="H649" s="35" t="s">
        <v>211</v>
      </c>
      <c r="I649" s="35" t="s">
        <v>202</v>
      </c>
      <c r="J649" s="35" t="n">
        <v>10</v>
      </c>
      <c r="K649" s="65" t="n">
        <v>22106.78</v>
      </c>
      <c r="L649" s="65" t="n">
        <v>221067.8</v>
      </c>
      <c r="M649" s="66" t="n">
        <f aca="false">DATE(YEAR(B649),MONTH(B649),1)</f>
        <v>45658</v>
      </c>
      <c r="N649" s="35" t="str">
        <f aca="false">IF(G649="","Unknown",G649)</f>
        <v>Delhi</v>
      </c>
      <c r="O649" s="35" t="str">
        <f aca="false">IF(E649="","Unknown",IF(E649&lt;=25,"18-25",IF(E649&lt;=35,"26-35",IF(E649&lt;=45,"36-45",IF(E649&lt;=55,"46-55","56-65")))))</f>
        <v>46-55</v>
      </c>
      <c r="P649" s="35" t="n">
        <f aca="false">COUNTIF($C$2:$C$1001,C649)</f>
        <v>1</v>
      </c>
      <c r="Q649" s="35" t="n">
        <f aca="false">IF(COUNTIF($C$2:C649,C649)=1,1,0)</f>
        <v>1</v>
      </c>
    </row>
    <row r="650" customFormat="false" ht="15" hidden="false" customHeight="false" outlineLevel="0" collapsed="false">
      <c r="A650" s="35" t="s">
        <v>1881</v>
      </c>
      <c r="B650" s="64" t="n">
        <v>45922</v>
      </c>
      <c r="C650" s="35" t="s">
        <v>1882</v>
      </c>
      <c r="D650" s="35" t="s">
        <v>436</v>
      </c>
      <c r="E650" s="35"/>
      <c r="F650" s="35" t="s">
        <v>235</v>
      </c>
      <c r="G650" s="35" t="s">
        <v>218</v>
      </c>
      <c r="H650" s="35" t="s">
        <v>211</v>
      </c>
      <c r="I650" s="35" t="s">
        <v>202</v>
      </c>
      <c r="J650" s="35" t="n">
        <v>3</v>
      </c>
      <c r="K650" s="65" t="n">
        <v>7467.04</v>
      </c>
      <c r="L650" s="65" t="n">
        <v>22401.12</v>
      </c>
      <c r="M650" s="66" t="n">
        <f aca="false">DATE(YEAR(B650),MONTH(B650),1)</f>
        <v>45901</v>
      </c>
      <c r="N650" s="35" t="str">
        <f aca="false">IF(G650="","Unknown",G650)</f>
        <v>Bengaluru</v>
      </c>
      <c r="O650" s="35" t="str">
        <f aca="false">IF(E650="","Unknown",IF(E650&lt;=25,"18-25",IF(E650&lt;=35,"26-35",IF(E650&lt;=45,"36-45",IF(E650&lt;=55,"46-55","56-65")))))</f>
        <v>Unknown</v>
      </c>
      <c r="P650" s="35" t="n">
        <f aca="false">COUNTIF($C$2:$C$1001,C650)</f>
        <v>1</v>
      </c>
      <c r="Q650" s="35" t="n">
        <f aca="false">IF(COUNTIF($C$2:C650,C650)=1,1,0)</f>
        <v>1</v>
      </c>
    </row>
    <row r="651" customFormat="false" ht="15" hidden="false" customHeight="false" outlineLevel="0" collapsed="false">
      <c r="A651" s="35" t="s">
        <v>1883</v>
      </c>
      <c r="B651" s="64" t="n">
        <v>45688</v>
      </c>
      <c r="C651" s="35" t="s">
        <v>1884</v>
      </c>
      <c r="D651" s="35" t="s">
        <v>1647</v>
      </c>
      <c r="E651" s="35" t="n">
        <v>59</v>
      </c>
      <c r="F651" s="35" t="s">
        <v>234</v>
      </c>
      <c r="G651" s="35" t="s">
        <v>217</v>
      </c>
      <c r="H651" s="35" t="s">
        <v>208</v>
      </c>
      <c r="I651" s="35" t="s">
        <v>200</v>
      </c>
      <c r="J651" s="35" t="n">
        <v>7</v>
      </c>
      <c r="K651" s="65" t="n">
        <v>27547.81</v>
      </c>
      <c r="L651" s="65" t="n">
        <v>192834.67</v>
      </c>
      <c r="M651" s="66" t="n">
        <f aca="false">DATE(YEAR(B651),MONTH(B651),1)</f>
        <v>45658</v>
      </c>
      <c r="N651" s="35" t="str">
        <f aca="false">IF(G651="","Unknown",G651)</f>
        <v>Kolkata</v>
      </c>
      <c r="O651" s="35" t="str">
        <f aca="false">IF(E651="","Unknown",IF(E651&lt;=25,"18-25",IF(E651&lt;=35,"26-35",IF(E651&lt;=45,"36-45",IF(E651&lt;=55,"46-55","56-65")))))</f>
        <v>56-65</v>
      </c>
      <c r="P651" s="35" t="n">
        <f aca="false">COUNTIF($C$2:$C$1001,C651)</f>
        <v>2</v>
      </c>
      <c r="Q651" s="35" t="n">
        <f aca="false">IF(COUNTIF($C$2:C651,C651)=1,1,0)</f>
        <v>1</v>
      </c>
    </row>
    <row r="652" customFormat="false" ht="15" hidden="false" customHeight="false" outlineLevel="0" collapsed="false">
      <c r="A652" s="35" t="s">
        <v>1885</v>
      </c>
      <c r="B652" s="64" t="n">
        <v>45691</v>
      </c>
      <c r="C652" s="35" t="s">
        <v>1886</v>
      </c>
      <c r="D652" s="35" t="s">
        <v>1470</v>
      </c>
      <c r="E652" s="35" t="n">
        <v>30</v>
      </c>
      <c r="F652" s="35" t="s">
        <v>234</v>
      </c>
      <c r="G652" s="35" t="s">
        <v>222</v>
      </c>
      <c r="H652" s="35" t="s">
        <v>210</v>
      </c>
      <c r="I652" s="35" t="s">
        <v>201</v>
      </c>
      <c r="J652" s="35" t="n">
        <v>10</v>
      </c>
      <c r="K652" s="65" t="n">
        <v>22952.77</v>
      </c>
      <c r="L652" s="65" t="n">
        <v>229527.7</v>
      </c>
      <c r="M652" s="66" t="n">
        <f aca="false">DATE(YEAR(B652),MONTH(B652),1)</f>
        <v>45689</v>
      </c>
      <c r="N652" s="35" t="str">
        <f aca="false">IF(G652="","Unknown",G652)</f>
        <v>Pune</v>
      </c>
      <c r="O652" s="35" t="str">
        <f aca="false">IF(E652="","Unknown",IF(E652&lt;=25,"18-25",IF(E652&lt;=35,"26-35",IF(E652&lt;=45,"36-45",IF(E652&lt;=55,"46-55","56-65")))))</f>
        <v>26-35</v>
      </c>
      <c r="P652" s="35" t="n">
        <f aca="false">COUNTIF($C$2:$C$1001,C652)</f>
        <v>1</v>
      </c>
      <c r="Q652" s="35" t="n">
        <f aca="false">IF(COUNTIF($C$2:C652,C652)=1,1,0)</f>
        <v>1</v>
      </c>
    </row>
    <row r="653" customFormat="false" ht="15" hidden="false" customHeight="false" outlineLevel="0" collapsed="false">
      <c r="A653" s="35" t="s">
        <v>1887</v>
      </c>
      <c r="B653" s="64" t="n">
        <v>45768</v>
      </c>
      <c r="C653" s="35" t="s">
        <v>1888</v>
      </c>
      <c r="D653" s="35" t="s">
        <v>1147</v>
      </c>
      <c r="E653" s="35" t="n">
        <v>21</v>
      </c>
      <c r="F653" s="35" t="s">
        <v>234</v>
      </c>
      <c r="G653" s="35" t="s">
        <v>217</v>
      </c>
      <c r="H653" s="35" t="s">
        <v>211</v>
      </c>
      <c r="I653" s="35" t="s">
        <v>202</v>
      </c>
      <c r="J653" s="35" t="n">
        <v>6</v>
      </c>
      <c r="K653" s="65" t="n">
        <v>35222.23</v>
      </c>
      <c r="L653" s="65" t="n">
        <v>211333.38</v>
      </c>
      <c r="M653" s="66" t="n">
        <f aca="false">DATE(YEAR(B653),MONTH(B653),1)</f>
        <v>45748</v>
      </c>
      <c r="N653" s="35" t="str">
        <f aca="false">IF(G653="","Unknown",G653)</f>
        <v>Kolkata</v>
      </c>
      <c r="O653" s="35" t="str">
        <f aca="false">IF(E653="","Unknown",IF(E653&lt;=25,"18-25",IF(E653&lt;=35,"26-35",IF(E653&lt;=45,"36-45",IF(E653&lt;=55,"46-55","56-65")))))</f>
        <v>18-25</v>
      </c>
      <c r="P653" s="35" t="n">
        <f aca="false">COUNTIF($C$2:$C$1001,C653)</f>
        <v>1</v>
      </c>
      <c r="Q653" s="35" t="n">
        <f aca="false">IF(COUNTIF($C$2:C653,C653)=1,1,0)</f>
        <v>1</v>
      </c>
    </row>
    <row r="654" customFormat="false" ht="15" hidden="false" customHeight="false" outlineLevel="0" collapsed="false">
      <c r="A654" s="35" t="s">
        <v>1889</v>
      </c>
      <c r="B654" s="64" t="n">
        <v>45711</v>
      </c>
      <c r="C654" s="35" t="s">
        <v>1890</v>
      </c>
      <c r="D654" s="35" t="s">
        <v>281</v>
      </c>
      <c r="E654" s="35" t="n">
        <v>39</v>
      </c>
      <c r="F654" s="35" t="s">
        <v>234</v>
      </c>
      <c r="G654" s="35" t="s">
        <v>219</v>
      </c>
      <c r="H654" s="35" t="s">
        <v>212</v>
      </c>
      <c r="I654" s="35" t="s">
        <v>203</v>
      </c>
      <c r="J654" s="35" t="n">
        <v>8</v>
      </c>
      <c r="K654" s="65" t="n">
        <v>16240.66</v>
      </c>
      <c r="L654" s="65" t="n">
        <v>129925.28</v>
      </c>
      <c r="M654" s="66" t="n">
        <f aca="false">DATE(YEAR(B654),MONTH(B654),1)</f>
        <v>45689</v>
      </c>
      <c r="N654" s="35" t="str">
        <f aca="false">IF(G654="","Unknown",G654)</f>
        <v>Mumbai</v>
      </c>
      <c r="O654" s="35" t="str">
        <f aca="false">IF(E654="","Unknown",IF(E654&lt;=25,"18-25",IF(E654&lt;=35,"26-35",IF(E654&lt;=45,"36-45",IF(E654&lt;=55,"46-55","56-65")))))</f>
        <v>36-45</v>
      </c>
      <c r="P654" s="35" t="n">
        <f aca="false">COUNTIF($C$2:$C$1001,C654)</f>
        <v>1</v>
      </c>
      <c r="Q654" s="35" t="n">
        <f aca="false">IF(COUNTIF($C$2:C654,C654)=1,1,0)</f>
        <v>1</v>
      </c>
    </row>
    <row r="655" customFormat="false" ht="15" hidden="false" customHeight="false" outlineLevel="0" collapsed="false">
      <c r="A655" s="35" t="s">
        <v>1891</v>
      </c>
      <c r="B655" s="64" t="n">
        <v>45870</v>
      </c>
      <c r="C655" s="35" t="s">
        <v>1892</v>
      </c>
      <c r="D655" s="35" t="s">
        <v>1167</v>
      </c>
      <c r="E655" s="35" t="n">
        <v>55</v>
      </c>
      <c r="F655" s="35" t="s">
        <v>234</v>
      </c>
      <c r="G655" s="35" t="s">
        <v>220</v>
      </c>
      <c r="H655" s="35" t="s">
        <v>210</v>
      </c>
      <c r="I655" s="35" t="s">
        <v>201</v>
      </c>
      <c r="J655" s="35" t="n">
        <v>1</v>
      </c>
      <c r="K655" s="65" t="n">
        <v>12255.87</v>
      </c>
      <c r="L655" s="65" t="n">
        <v>12255.87</v>
      </c>
      <c r="M655" s="66" t="n">
        <f aca="false">DATE(YEAR(B655),MONTH(B655),1)</f>
        <v>45870</v>
      </c>
      <c r="N655" s="35" t="str">
        <f aca="false">IF(G655="","Unknown",G655)</f>
        <v>Hyderabad</v>
      </c>
      <c r="O655" s="35" t="str">
        <f aca="false">IF(E655="","Unknown",IF(E655&lt;=25,"18-25",IF(E655&lt;=35,"26-35",IF(E655&lt;=45,"36-45",IF(E655&lt;=55,"46-55","56-65")))))</f>
        <v>46-55</v>
      </c>
      <c r="P655" s="35" t="n">
        <f aca="false">COUNTIF($C$2:$C$1001,C655)</f>
        <v>1</v>
      </c>
      <c r="Q655" s="35" t="n">
        <f aca="false">IF(COUNTIF($C$2:C655,C655)=1,1,0)</f>
        <v>1</v>
      </c>
    </row>
    <row r="656" customFormat="false" ht="15" hidden="false" customHeight="false" outlineLevel="0" collapsed="false">
      <c r="A656" s="35" t="s">
        <v>1893</v>
      </c>
      <c r="B656" s="64" t="n">
        <v>45847</v>
      </c>
      <c r="C656" s="35" t="s">
        <v>1894</v>
      </c>
      <c r="D656" s="35" t="s">
        <v>442</v>
      </c>
      <c r="E656" s="35" t="n">
        <v>21</v>
      </c>
      <c r="F656" s="35" t="s">
        <v>234</v>
      </c>
      <c r="G656" s="35" t="s">
        <v>218</v>
      </c>
      <c r="H656" s="35" t="s">
        <v>212</v>
      </c>
      <c r="I656" s="35" t="s">
        <v>203</v>
      </c>
      <c r="J656" s="35" t="n">
        <v>7</v>
      </c>
      <c r="K656" s="65" t="n">
        <v>42941.88</v>
      </c>
      <c r="L656" s="65" t="n">
        <v>300593.16</v>
      </c>
      <c r="M656" s="66" t="n">
        <f aca="false">DATE(YEAR(B656),MONTH(B656),1)</f>
        <v>45839</v>
      </c>
      <c r="N656" s="35" t="str">
        <f aca="false">IF(G656="","Unknown",G656)</f>
        <v>Bengaluru</v>
      </c>
      <c r="O656" s="35" t="str">
        <f aca="false">IF(E656="","Unknown",IF(E656&lt;=25,"18-25",IF(E656&lt;=35,"26-35",IF(E656&lt;=45,"36-45",IF(E656&lt;=55,"46-55","56-65")))))</f>
        <v>18-25</v>
      </c>
      <c r="P656" s="35" t="n">
        <f aca="false">COUNTIF($C$2:$C$1001,C656)</f>
        <v>1</v>
      </c>
      <c r="Q656" s="35" t="n">
        <f aca="false">IF(COUNTIF($C$2:C656,C656)=1,1,0)</f>
        <v>1</v>
      </c>
    </row>
    <row r="657" customFormat="false" ht="15" hidden="false" customHeight="false" outlineLevel="0" collapsed="false">
      <c r="A657" s="35" t="s">
        <v>1895</v>
      </c>
      <c r="B657" s="64" t="n">
        <v>45992</v>
      </c>
      <c r="C657" s="35" t="s">
        <v>1896</v>
      </c>
      <c r="D657" s="35" t="s">
        <v>1379</v>
      </c>
      <c r="E657" s="35" t="n">
        <v>54</v>
      </c>
      <c r="F657" s="35" t="s">
        <v>234</v>
      </c>
      <c r="G657" s="35" t="s">
        <v>221</v>
      </c>
      <c r="H657" s="35" t="s">
        <v>208</v>
      </c>
      <c r="I657" s="35" t="s">
        <v>200</v>
      </c>
      <c r="J657" s="35" t="n">
        <v>10</v>
      </c>
      <c r="K657" s="65" t="n">
        <v>10307.48</v>
      </c>
      <c r="L657" s="65" t="n">
        <v>103074.8</v>
      </c>
      <c r="M657" s="66" t="n">
        <f aca="false">DATE(YEAR(B657),MONTH(B657),1)</f>
        <v>45992</v>
      </c>
      <c r="N657" s="35" t="str">
        <f aca="false">IF(G657="","Unknown",G657)</f>
        <v>Delhi</v>
      </c>
      <c r="O657" s="35" t="str">
        <f aca="false">IF(E657="","Unknown",IF(E657&lt;=25,"18-25",IF(E657&lt;=35,"26-35",IF(E657&lt;=45,"36-45",IF(E657&lt;=55,"46-55","56-65")))))</f>
        <v>46-55</v>
      </c>
      <c r="P657" s="35" t="n">
        <f aca="false">COUNTIF($C$2:$C$1001,C657)</f>
        <v>1</v>
      </c>
      <c r="Q657" s="35" t="n">
        <f aca="false">IF(COUNTIF($C$2:C657,C657)=1,1,0)</f>
        <v>1</v>
      </c>
    </row>
    <row r="658" customFormat="false" ht="15" hidden="false" customHeight="false" outlineLevel="0" collapsed="false">
      <c r="A658" s="35" t="s">
        <v>1897</v>
      </c>
      <c r="B658" s="64" t="n">
        <v>45944</v>
      </c>
      <c r="C658" s="35" t="s">
        <v>1898</v>
      </c>
      <c r="D658" s="35" t="s">
        <v>944</v>
      </c>
      <c r="E658" s="35" t="n">
        <v>18</v>
      </c>
      <c r="F658" s="35" t="s">
        <v>235</v>
      </c>
      <c r="G658" s="35" t="s">
        <v>222</v>
      </c>
      <c r="H658" s="35" t="s">
        <v>213</v>
      </c>
      <c r="I658" s="35" t="s">
        <v>204</v>
      </c>
      <c r="J658" s="35" t="n">
        <v>10</v>
      </c>
      <c r="K658" s="65" t="n">
        <v>46270.13</v>
      </c>
      <c r="L658" s="65" t="n">
        <v>462701.3</v>
      </c>
      <c r="M658" s="66" t="n">
        <f aca="false">DATE(YEAR(B658),MONTH(B658),1)</f>
        <v>45931</v>
      </c>
      <c r="N658" s="35" t="str">
        <f aca="false">IF(G658="","Unknown",G658)</f>
        <v>Pune</v>
      </c>
      <c r="O658" s="35" t="str">
        <f aca="false">IF(E658="","Unknown",IF(E658&lt;=25,"18-25",IF(E658&lt;=35,"26-35",IF(E658&lt;=45,"36-45",IF(E658&lt;=55,"46-55","56-65")))))</f>
        <v>18-25</v>
      </c>
      <c r="P658" s="35" t="n">
        <f aca="false">COUNTIF($C$2:$C$1001,C658)</f>
        <v>1</v>
      </c>
      <c r="Q658" s="35" t="n">
        <f aca="false">IF(COUNTIF($C$2:C658,C658)=1,1,0)</f>
        <v>1</v>
      </c>
    </row>
    <row r="659" customFormat="false" ht="15" hidden="false" customHeight="false" outlineLevel="0" collapsed="false">
      <c r="A659" s="35" t="s">
        <v>1899</v>
      </c>
      <c r="B659" s="64" t="n">
        <v>45902</v>
      </c>
      <c r="C659" s="35" t="s">
        <v>1900</v>
      </c>
      <c r="D659" s="35" t="s">
        <v>1901</v>
      </c>
      <c r="E659" s="35" t="n">
        <v>63</v>
      </c>
      <c r="F659" s="35" t="s">
        <v>234</v>
      </c>
      <c r="G659" s="35" t="s">
        <v>223</v>
      </c>
      <c r="H659" s="35" t="s">
        <v>210</v>
      </c>
      <c r="I659" s="35" t="s">
        <v>201</v>
      </c>
      <c r="J659" s="35" t="n">
        <v>5</v>
      </c>
      <c r="K659" s="65" t="n">
        <v>33524.03</v>
      </c>
      <c r="L659" s="65" t="n">
        <v>167620.15</v>
      </c>
      <c r="M659" s="66" t="n">
        <f aca="false">DATE(YEAR(B659),MONTH(B659),1)</f>
        <v>45901</v>
      </c>
      <c r="N659" s="35" t="str">
        <f aca="false">IF(G659="","Unknown",G659)</f>
        <v>Gaya</v>
      </c>
      <c r="O659" s="35" t="str">
        <f aca="false">IF(E659="","Unknown",IF(E659&lt;=25,"18-25",IF(E659&lt;=35,"26-35",IF(E659&lt;=45,"36-45",IF(E659&lt;=55,"46-55","56-65")))))</f>
        <v>56-65</v>
      </c>
      <c r="P659" s="35" t="n">
        <f aca="false">COUNTIF($C$2:$C$1001,C659)</f>
        <v>1</v>
      </c>
      <c r="Q659" s="35" t="n">
        <f aca="false">IF(COUNTIF($C$2:C659,C659)=1,1,0)</f>
        <v>1</v>
      </c>
    </row>
    <row r="660" customFormat="false" ht="15" hidden="false" customHeight="false" outlineLevel="0" collapsed="false">
      <c r="A660" s="35" t="s">
        <v>1902</v>
      </c>
      <c r="B660" s="64" t="n">
        <v>45670</v>
      </c>
      <c r="C660" s="35" t="s">
        <v>1903</v>
      </c>
      <c r="D660" s="35" t="s">
        <v>1173</v>
      </c>
      <c r="E660" s="35" t="n">
        <v>20</v>
      </c>
      <c r="F660" s="35" t="s">
        <v>234</v>
      </c>
      <c r="G660" s="35" t="s">
        <v>219</v>
      </c>
      <c r="H660" s="35" t="s">
        <v>210</v>
      </c>
      <c r="I660" s="35" t="s">
        <v>201</v>
      </c>
      <c r="J660" s="35" t="n">
        <v>2</v>
      </c>
      <c r="K660" s="65" t="n">
        <v>38065.84</v>
      </c>
      <c r="L660" s="65" t="n">
        <v>76131.68</v>
      </c>
      <c r="M660" s="66" t="n">
        <f aca="false">DATE(YEAR(B660),MONTH(B660),1)</f>
        <v>45658</v>
      </c>
      <c r="N660" s="35" t="str">
        <f aca="false">IF(G660="","Unknown",G660)</f>
        <v>Mumbai</v>
      </c>
      <c r="O660" s="35" t="str">
        <f aca="false">IF(E660="","Unknown",IF(E660&lt;=25,"18-25",IF(E660&lt;=35,"26-35",IF(E660&lt;=45,"36-45",IF(E660&lt;=55,"46-55","56-65")))))</f>
        <v>18-25</v>
      </c>
      <c r="P660" s="35" t="n">
        <f aca="false">COUNTIF($C$2:$C$1001,C660)</f>
        <v>1</v>
      </c>
      <c r="Q660" s="35" t="n">
        <f aca="false">IF(COUNTIF($C$2:C660,C660)=1,1,0)</f>
        <v>1</v>
      </c>
    </row>
    <row r="661" customFormat="false" ht="15" hidden="false" customHeight="false" outlineLevel="0" collapsed="false">
      <c r="A661" s="35" t="s">
        <v>1904</v>
      </c>
      <c r="B661" s="64" t="n">
        <v>45913</v>
      </c>
      <c r="C661" s="35" t="s">
        <v>1905</v>
      </c>
      <c r="D661" s="35" t="s">
        <v>1779</v>
      </c>
      <c r="E661" s="35" t="n">
        <v>23</v>
      </c>
      <c r="F661" s="35" t="s">
        <v>234</v>
      </c>
      <c r="G661" s="35" t="s">
        <v>218</v>
      </c>
      <c r="H661" s="35" t="s">
        <v>213</v>
      </c>
      <c r="I661" s="35" t="s">
        <v>204</v>
      </c>
      <c r="J661" s="35" t="n">
        <v>10</v>
      </c>
      <c r="K661" s="65" t="n">
        <v>8465.62</v>
      </c>
      <c r="L661" s="65" t="n">
        <v>84656.2</v>
      </c>
      <c r="M661" s="66" t="n">
        <f aca="false">DATE(YEAR(B661),MONTH(B661),1)</f>
        <v>45901</v>
      </c>
      <c r="N661" s="35" t="str">
        <f aca="false">IF(G661="","Unknown",G661)</f>
        <v>Bengaluru</v>
      </c>
      <c r="O661" s="35" t="str">
        <f aca="false">IF(E661="","Unknown",IF(E661&lt;=25,"18-25",IF(E661&lt;=35,"26-35",IF(E661&lt;=45,"36-45",IF(E661&lt;=55,"46-55","56-65")))))</f>
        <v>18-25</v>
      </c>
      <c r="P661" s="35" t="n">
        <f aca="false">COUNTIF($C$2:$C$1001,C661)</f>
        <v>1</v>
      </c>
      <c r="Q661" s="35" t="n">
        <f aca="false">IF(COUNTIF($C$2:C661,C661)=1,1,0)</f>
        <v>1</v>
      </c>
    </row>
    <row r="662" customFormat="false" ht="15" hidden="false" customHeight="false" outlineLevel="0" collapsed="false">
      <c r="A662" s="35" t="s">
        <v>1906</v>
      </c>
      <c r="B662" s="64" t="n">
        <v>45917</v>
      </c>
      <c r="C662" s="35" t="s">
        <v>1907</v>
      </c>
      <c r="D662" s="35" t="s">
        <v>1311</v>
      </c>
      <c r="E662" s="35" t="n">
        <v>44</v>
      </c>
      <c r="F662" s="35" t="s">
        <v>235</v>
      </c>
      <c r="G662" s="35" t="s">
        <v>220</v>
      </c>
      <c r="H662" s="35" t="s">
        <v>211</v>
      </c>
      <c r="I662" s="35" t="s">
        <v>202</v>
      </c>
      <c r="J662" s="35" t="n">
        <v>9</v>
      </c>
      <c r="K662" s="65" t="n">
        <v>1610.18</v>
      </c>
      <c r="L662" s="65" t="n">
        <v>14491.62</v>
      </c>
      <c r="M662" s="66" t="n">
        <f aca="false">DATE(YEAR(B662),MONTH(B662),1)</f>
        <v>45901</v>
      </c>
      <c r="N662" s="35" t="str">
        <f aca="false">IF(G662="","Unknown",G662)</f>
        <v>Hyderabad</v>
      </c>
      <c r="O662" s="35" t="str">
        <f aca="false">IF(E662="","Unknown",IF(E662&lt;=25,"18-25",IF(E662&lt;=35,"26-35",IF(E662&lt;=45,"36-45",IF(E662&lt;=55,"46-55","56-65")))))</f>
        <v>36-45</v>
      </c>
      <c r="P662" s="35" t="n">
        <f aca="false">COUNTIF($C$2:$C$1001,C662)</f>
        <v>1</v>
      </c>
      <c r="Q662" s="35" t="n">
        <f aca="false">IF(COUNTIF($C$2:C662,C662)=1,1,0)</f>
        <v>1</v>
      </c>
    </row>
    <row r="663" customFormat="false" ht="15" hidden="false" customHeight="false" outlineLevel="0" collapsed="false">
      <c r="A663" s="35" t="s">
        <v>1908</v>
      </c>
      <c r="B663" s="64" t="n">
        <v>45858</v>
      </c>
      <c r="C663" s="35" t="s">
        <v>1909</v>
      </c>
      <c r="D663" s="35" t="s">
        <v>305</v>
      </c>
      <c r="E663" s="35" t="n">
        <v>18</v>
      </c>
      <c r="F663" s="35" t="s">
        <v>234</v>
      </c>
      <c r="G663" s="35" t="s">
        <v>223</v>
      </c>
      <c r="H663" s="35" t="s">
        <v>211</v>
      </c>
      <c r="I663" s="35" t="s">
        <v>202</v>
      </c>
      <c r="J663" s="35" t="n">
        <v>5</v>
      </c>
      <c r="K663" s="65" t="n">
        <v>35120.83</v>
      </c>
      <c r="L663" s="65" t="n">
        <v>175604.15</v>
      </c>
      <c r="M663" s="66" t="n">
        <f aca="false">DATE(YEAR(B663),MONTH(B663),1)</f>
        <v>45839</v>
      </c>
      <c r="N663" s="35" t="str">
        <f aca="false">IF(G663="","Unknown",G663)</f>
        <v>Gaya</v>
      </c>
      <c r="O663" s="35" t="str">
        <f aca="false">IF(E663="","Unknown",IF(E663&lt;=25,"18-25",IF(E663&lt;=35,"26-35",IF(E663&lt;=45,"36-45",IF(E663&lt;=55,"46-55","56-65")))))</f>
        <v>18-25</v>
      </c>
      <c r="P663" s="35" t="n">
        <f aca="false">COUNTIF($C$2:$C$1001,C663)</f>
        <v>1</v>
      </c>
      <c r="Q663" s="35" t="n">
        <f aca="false">IF(COUNTIF($C$2:C663,C663)=1,1,0)</f>
        <v>1</v>
      </c>
    </row>
    <row r="664" customFormat="false" ht="15" hidden="false" customHeight="false" outlineLevel="0" collapsed="false">
      <c r="A664" s="35" t="s">
        <v>1910</v>
      </c>
      <c r="B664" s="64" t="n">
        <v>45845</v>
      </c>
      <c r="C664" s="35" t="s">
        <v>1911</v>
      </c>
      <c r="D664" s="35" t="s">
        <v>1912</v>
      </c>
      <c r="E664" s="35" t="n">
        <v>33</v>
      </c>
      <c r="F664" s="35" t="s">
        <v>235</v>
      </c>
      <c r="G664" s="35" t="s">
        <v>222</v>
      </c>
      <c r="H664" s="35" t="s">
        <v>212</v>
      </c>
      <c r="I664" s="35" t="s">
        <v>203</v>
      </c>
      <c r="J664" s="35" t="n">
        <v>6</v>
      </c>
      <c r="K664" s="65" t="n">
        <v>30775.74</v>
      </c>
      <c r="L664" s="65" t="n">
        <v>184654.44</v>
      </c>
      <c r="M664" s="66" t="n">
        <f aca="false">DATE(YEAR(B664),MONTH(B664),1)</f>
        <v>45839</v>
      </c>
      <c r="N664" s="35" t="str">
        <f aca="false">IF(G664="","Unknown",G664)</f>
        <v>Pune</v>
      </c>
      <c r="O664" s="35" t="str">
        <f aca="false">IF(E664="","Unknown",IF(E664&lt;=25,"18-25",IF(E664&lt;=35,"26-35",IF(E664&lt;=45,"36-45",IF(E664&lt;=55,"46-55","56-65")))))</f>
        <v>26-35</v>
      </c>
      <c r="P664" s="35" t="n">
        <f aca="false">COUNTIF($C$2:$C$1001,C664)</f>
        <v>1</v>
      </c>
      <c r="Q664" s="35" t="n">
        <f aca="false">IF(COUNTIF($C$2:C664,C664)=1,1,0)</f>
        <v>1</v>
      </c>
    </row>
    <row r="665" customFormat="false" ht="15" hidden="false" customHeight="false" outlineLevel="0" collapsed="false">
      <c r="A665" s="35" t="s">
        <v>1913</v>
      </c>
      <c r="B665" s="64" t="n">
        <v>45842</v>
      </c>
      <c r="C665" s="35" t="s">
        <v>1914</v>
      </c>
      <c r="D665" s="35" t="s">
        <v>1027</v>
      </c>
      <c r="E665" s="35" t="n">
        <v>27</v>
      </c>
      <c r="F665" s="35" t="s">
        <v>235</v>
      </c>
      <c r="G665" s="35" t="s">
        <v>222</v>
      </c>
      <c r="H665" s="35" t="s">
        <v>208</v>
      </c>
      <c r="I665" s="35" t="s">
        <v>200</v>
      </c>
      <c r="J665" s="35" t="n">
        <v>4</v>
      </c>
      <c r="K665" s="65" t="n">
        <v>47796.53</v>
      </c>
      <c r="L665" s="65" t="n">
        <v>191186.12</v>
      </c>
      <c r="M665" s="66" t="n">
        <f aca="false">DATE(YEAR(B665),MONTH(B665),1)</f>
        <v>45839</v>
      </c>
      <c r="N665" s="35" t="str">
        <f aca="false">IF(G665="","Unknown",G665)</f>
        <v>Pune</v>
      </c>
      <c r="O665" s="35" t="str">
        <f aca="false">IF(E665="","Unknown",IF(E665&lt;=25,"18-25",IF(E665&lt;=35,"26-35",IF(E665&lt;=45,"36-45",IF(E665&lt;=55,"46-55","56-65")))))</f>
        <v>26-35</v>
      </c>
      <c r="P665" s="35" t="n">
        <f aca="false">COUNTIF($C$2:$C$1001,C665)</f>
        <v>1</v>
      </c>
      <c r="Q665" s="35" t="n">
        <f aca="false">IF(COUNTIF($C$2:C665,C665)=1,1,0)</f>
        <v>1</v>
      </c>
    </row>
    <row r="666" customFormat="false" ht="15" hidden="false" customHeight="false" outlineLevel="0" collapsed="false">
      <c r="A666" s="35" t="s">
        <v>1915</v>
      </c>
      <c r="B666" s="64" t="n">
        <v>46006</v>
      </c>
      <c r="C666" s="35" t="s">
        <v>1916</v>
      </c>
      <c r="D666" s="35" t="s">
        <v>570</v>
      </c>
      <c r="E666" s="35" t="n">
        <v>48</v>
      </c>
      <c r="F666" s="35" t="s">
        <v>235</v>
      </c>
      <c r="G666" s="35" t="s">
        <v>217</v>
      </c>
      <c r="H666" s="35" t="s">
        <v>211</v>
      </c>
      <c r="I666" s="35" t="s">
        <v>202</v>
      </c>
      <c r="J666" s="35" t="n">
        <v>7</v>
      </c>
      <c r="K666" s="65" t="n">
        <v>38583.88</v>
      </c>
      <c r="L666" s="65" t="n">
        <v>270087.16</v>
      </c>
      <c r="M666" s="66" t="n">
        <f aca="false">DATE(YEAR(B666),MONTH(B666),1)</f>
        <v>45992</v>
      </c>
      <c r="N666" s="35" t="str">
        <f aca="false">IF(G666="","Unknown",G666)</f>
        <v>Kolkata</v>
      </c>
      <c r="O666" s="35" t="str">
        <f aca="false">IF(E666="","Unknown",IF(E666&lt;=25,"18-25",IF(E666&lt;=35,"26-35",IF(E666&lt;=45,"36-45",IF(E666&lt;=55,"46-55","56-65")))))</f>
        <v>46-55</v>
      </c>
      <c r="P666" s="35" t="n">
        <f aca="false">COUNTIF($C$2:$C$1001,C666)</f>
        <v>1</v>
      </c>
      <c r="Q666" s="35" t="n">
        <f aca="false">IF(COUNTIF($C$2:C666,C666)=1,1,0)</f>
        <v>1</v>
      </c>
    </row>
    <row r="667" customFormat="false" ht="15" hidden="false" customHeight="false" outlineLevel="0" collapsed="false">
      <c r="A667" s="35" t="s">
        <v>1917</v>
      </c>
      <c r="B667" s="64" t="n">
        <v>45718</v>
      </c>
      <c r="C667" s="35" t="s">
        <v>1183</v>
      </c>
      <c r="D667" s="35" t="s">
        <v>1679</v>
      </c>
      <c r="E667" s="35" t="n">
        <v>39</v>
      </c>
      <c r="F667" s="35" t="s">
        <v>234</v>
      </c>
      <c r="G667" s="35" t="s">
        <v>219</v>
      </c>
      <c r="H667" s="35" t="s">
        <v>208</v>
      </c>
      <c r="I667" s="35" t="s">
        <v>200</v>
      </c>
      <c r="J667" s="35" t="n">
        <v>6</v>
      </c>
      <c r="K667" s="65" t="n">
        <v>38368.41</v>
      </c>
      <c r="L667" s="65" t="n">
        <v>230210.46</v>
      </c>
      <c r="M667" s="66" t="n">
        <f aca="false">DATE(YEAR(B667),MONTH(B667),1)</f>
        <v>45717</v>
      </c>
      <c r="N667" s="35" t="str">
        <f aca="false">IF(G667="","Unknown",G667)</f>
        <v>Mumbai</v>
      </c>
      <c r="O667" s="35" t="str">
        <f aca="false">IF(E667="","Unknown",IF(E667&lt;=25,"18-25",IF(E667&lt;=35,"26-35",IF(E667&lt;=45,"36-45",IF(E667&lt;=55,"46-55","56-65")))))</f>
        <v>36-45</v>
      </c>
      <c r="P667" s="35" t="n">
        <f aca="false">COUNTIF($C$2:$C$1001,C667)</f>
        <v>2</v>
      </c>
      <c r="Q667" s="35" t="n">
        <f aca="false">IF(COUNTIF($C$2:C667,C667)=1,1,0)</f>
        <v>0</v>
      </c>
    </row>
    <row r="668" customFormat="false" ht="15" hidden="false" customHeight="false" outlineLevel="0" collapsed="false">
      <c r="A668" s="35" t="s">
        <v>1918</v>
      </c>
      <c r="B668" s="64" t="n">
        <v>45738</v>
      </c>
      <c r="C668" s="35" t="s">
        <v>1919</v>
      </c>
      <c r="D668" s="35" t="s">
        <v>1286</v>
      </c>
      <c r="E668" s="35" t="n">
        <v>59</v>
      </c>
      <c r="F668" s="35" t="s">
        <v>234</v>
      </c>
      <c r="G668" s="35" t="s">
        <v>218</v>
      </c>
      <c r="H668" s="35" t="s">
        <v>212</v>
      </c>
      <c r="I668" s="35" t="s">
        <v>203</v>
      </c>
      <c r="J668" s="35" t="n">
        <v>4</v>
      </c>
      <c r="K668" s="65" t="n">
        <v>48299.85</v>
      </c>
      <c r="L668" s="65" t="n">
        <v>193199.4</v>
      </c>
      <c r="M668" s="66" t="n">
        <f aca="false">DATE(YEAR(B668),MONTH(B668),1)</f>
        <v>45717</v>
      </c>
      <c r="N668" s="35" t="str">
        <f aca="false">IF(G668="","Unknown",G668)</f>
        <v>Bengaluru</v>
      </c>
      <c r="O668" s="35" t="str">
        <f aca="false">IF(E668="","Unknown",IF(E668&lt;=25,"18-25",IF(E668&lt;=35,"26-35",IF(E668&lt;=45,"36-45",IF(E668&lt;=55,"46-55","56-65")))))</f>
        <v>56-65</v>
      </c>
      <c r="P668" s="35" t="n">
        <f aca="false">COUNTIF($C$2:$C$1001,C668)</f>
        <v>1</v>
      </c>
      <c r="Q668" s="35" t="n">
        <f aca="false">IF(COUNTIF($C$2:C668,C668)=1,1,0)</f>
        <v>1</v>
      </c>
    </row>
    <row r="669" customFormat="false" ht="15" hidden="false" customHeight="false" outlineLevel="0" collapsed="false">
      <c r="A669" s="35" t="s">
        <v>1920</v>
      </c>
      <c r="B669" s="64" t="n">
        <v>45850</v>
      </c>
      <c r="C669" s="35" t="s">
        <v>1921</v>
      </c>
      <c r="D669" s="35" t="s">
        <v>356</v>
      </c>
      <c r="E669" s="35" t="n">
        <v>20</v>
      </c>
      <c r="F669" s="35" t="s">
        <v>235</v>
      </c>
      <c r="G669" s="35" t="s">
        <v>218</v>
      </c>
      <c r="H669" s="35" t="s">
        <v>208</v>
      </c>
      <c r="I669" s="35" t="s">
        <v>200</v>
      </c>
      <c r="J669" s="35" t="n">
        <v>9</v>
      </c>
      <c r="K669" s="65" t="n">
        <v>6889.29</v>
      </c>
      <c r="L669" s="65" t="n">
        <v>62003.61</v>
      </c>
      <c r="M669" s="66" t="n">
        <f aca="false">DATE(YEAR(B669),MONTH(B669),1)</f>
        <v>45839</v>
      </c>
      <c r="N669" s="35" t="str">
        <f aca="false">IF(G669="","Unknown",G669)</f>
        <v>Bengaluru</v>
      </c>
      <c r="O669" s="35" t="str">
        <f aca="false">IF(E669="","Unknown",IF(E669&lt;=25,"18-25",IF(E669&lt;=35,"26-35",IF(E669&lt;=45,"36-45",IF(E669&lt;=55,"46-55","56-65")))))</f>
        <v>18-25</v>
      </c>
      <c r="P669" s="35" t="n">
        <f aca="false">COUNTIF($C$2:$C$1001,C669)</f>
        <v>1</v>
      </c>
      <c r="Q669" s="35" t="n">
        <f aca="false">IF(COUNTIF($C$2:C669,C669)=1,1,0)</f>
        <v>1</v>
      </c>
    </row>
    <row r="670" customFormat="false" ht="15" hidden="false" customHeight="false" outlineLevel="0" collapsed="false">
      <c r="A670" s="35" t="s">
        <v>1922</v>
      </c>
      <c r="B670" s="64" t="n">
        <v>45882</v>
      </c>
      <c r="C670" s="35" t="s">
        <v>1923</v>
      </c>
      <c r="D670" s="35" t="s">
        <v>1924</v>
      </c>
      <c r="E670" s="35" t="n">
        <v>60</v>
      </c>
      <c r="F670" s="35" t="s">
        <v>235</v>
      </c>
      <c r="G670" s="35" t="s">
        <v>218</v>
      </c>
      <c r="H670" s="35" t="s">
        <v>213</v>
      </c>
      <c r="I670" s="35" t="s">
        <v>204</v>
      </c>
      <c r="J670" s="35" t="n">
        <v>10</v>
      </c>
      <c r="K670" s="65" t="n">
        <v>41268.06</v>
      </c>
      <c r="L670" s="65" t="n">
        <v>412680.6</v>
      </c>
      <c r="M670" s="66" t="n">
        <f aca="false">DATE(YEAR(B670),MONTH(B670),1)</f>
        <v>45870</v>
      </c>
      <c r="N670" s="35" t="str">
        <f aca="false">IF(G670="","Unknown",G670)</f>
        <v>Bengaluru</v>
      </c>
      <c r="O670" s="35" t="str">
        <f aca="false">IF(E670="","Unknown",IF(E670&lt;=25,"18-25",IF(E670&lt;=35,"26-35",IF(E670&lt;=45,"36-45",IF(E670&lt;=55,"46-55","56-65")))))</f>
        <v>56-65</v>
      </c>
      <c r="P670" s="35" t="n">
        <f aca="false">COUNTIF($C$2:$C$1001,C670)</f>
        <v>1</v>
      </c>
      <c r="Q670" s="35" t="n">
        <f aca="false">IF(COUNTIF($C$2:C670,C670)=1,1,0)</f>
        <v>1</v>
      </c>
    </row>
    <row r="671" customFormat="false" ht="15" hidden="false" customHeight="false" outlineLevel="0" collapsed="false">
      <c r="A671" s="35" t="s">
        <v>1925</v>
      </c>
      <c r="B671" s="64" t="n">
        <v>45854</v>
      </c>
      <c r="C671" s="35" t="s">
        <v>1926</v>
      </c>
      <c r="D671" s="35" t="s">
        <v>459</v>
      </c>
      <c r="E671" s="35" t="n">
        <v>60</v>
      </c>
      <c r="F671" s="35" t="s">
        <v>234</v>
      </c>
      <c r="G671" s="35" t="s">
        <v>221</v>
      </c>
      <c r="H671" s="35" t="s">
        <v>213</v>
      </c>
      <c r="I671" s="35" t="s">
        <v>204</v>
      </c>
      <c r="J671" s="35" t="n">
        <v>5</v>
      </c>
      <c r="K671" s="65" t="n">
        <v>28065.77</v>
      </c>
      <c r="L671" s="65" t="n">
        <v>140328.85</v>
      </c>
      <c r="M671" s="66" t="n">
        <f aca="false">DATE(YEAR(B671),MONTH(B671),1)</f>
        <v>45839</v>
      </c>
      <c r="N671" s="35" t="str">
        <f aca="false">IF(G671="","Unknown",G671)</f>
        <v>Delhi</v>
      </c>
      <c r="O671" s="35" t="str">
        <f aca="false">IF(E671="","Unknown",IF(E671&lt;=25,"18-25",IF(E671&lt;=35,"26-35",IF(E671&lt;=45,"36-45",IF(E671&lt;=55,"46-55","56-65")))))</f>
        <v>56-65</v>
      </c>
      <c r="P671" s="35" t="n">
        <f aca="false">COUNTIF($C$2:$C$1001,C671)</f>
        <v>1</v>
      </c>
      <c r="Q671" s="35" t="n">
        <f aca="false">IF(COUNTIF($C$2:C671,C671)=1,1,0)</f>
        <v>1</v>
      </c>
    </row>
    <row r="672" customFormat="false" ht="15" hidden="false" customHeight="false" outlineLevel="0" collapsed="false">
      <c r="A672" s="35" t="s">
        <v>1927</v>
      </c>
      <c r="B672" s="64" t="n">
        <v>46013</v>
      </c>
      <c r="C672" s="35" t="s">
        <v>1928</v>
      </c>
      <c r="D672" s="35" t="s">
        <v>1153</v>
      </c>
      <c r="E672" s="35" t="n">
        <v>37</v>
      </c>
      <c r="F672" s="35" t="s">
        <v>235</v>
      </c>
      <c r="G672" s="35" t="s">
        <v>223</v>
      </c>
      <c r="H672" s="35" t="s">
        <v>212</v>
      </c>
      <c r="I672" s="35" t="s">
        <v>203</v>
      </c>
      <c r="J672" s="35" t="n">
        <v>8</v>
      </c>
      <c r="K672" s="65" t="n">
        <v>25269.25</v>
      </c>
      <c r="L672" s="65" t="n">
        <v>202154</v>
      </c>
      <c r="M672" s="66" t="n">
        <f aca="false">DATE(YEAR(B672),MONTH(B672),1)</f>
        <v>45992</v>
      </c>
      <c r="N672" s="35" t="str">
        <f aca="false">IF(G672="","Unknown",G672)</f>
        <v>Gaya</v>
      </c>
      <c r="O672" s="35" t="str">
        <f aca="false">IF(E672="","Unknown",IF(E672&lt;=25,"18-25",IF(E672&lt;=35,"26-35",IF(E672&lt;=45,"36-45",IF(E672&lt;=55,"46-55","56-65")))))</f>
        <v>36-45</v>
      </c>
      <c r="P672" s="35" t="n">
        <f aca="false">COUNTIF($C$2:$C$1001,C672)</f>
        <v>1</v>
      </c>
      <c r="Q672" s="35" t="n">
        <f aca="false">IF(COUNTIF($C$2:C672,C672)=1,1,0)</f>
        <v>1</v>
      </c>
    </row>
    <row r="673" customFormat="false" ht="15" hidden="false" customHeight="false" outlineLevel="0" collapsed="false">
      <c r="A673" s="35" t="s">
        <v>1929</v>
      </c>
      <c r="B673" s="64" t="n">
        <v>45803</v>
      </c>
      <c r="C673" s="35" t="s">
        <v>1930</v>
      </c>
      <c r="D673" s="35" t="s">
        <v>1931</v>
      </c>
      <c r="E673" s="35" t="n">
        <v>57</v>
      </c>
      <c r="F673" s="35" t="s">
        <v>234</v>
      </c>
      <c r="G673" s="35" t="s">
        <v>221</v>
      </c>
      <c r="H673" s="35" t="s">
        <v>212</v>
      </c>
      <c r="I673" s="35" t="s">
        <v>203</v>
      </c>
      <c r="J673" s="35" t="n">
        <v>2</v>
      </c>
      <c r="K673" s="65" t="n">
        <v>31615.64</v>
      </c>
      <c r="L673" s="65" t="n">
        <v>63231.28</v>
      </c>
      <c r="M673" s="66" t="n">
        <f aca="false">DATE(YEAR(B673),MONTH(B673),1)</f>
        <v>45778</v>
      </c>
      <c r="N673" s="35" t="str">
        <f aca="false">IF(G673="","Unknown",G673)</f>
        <v>Delhi</v>
      </c>
      <c r="O673" s="35" t="str">
        <f aca="false">IF(E673="","Unknown",IF(E673&lt;=25,"18-25",IF(E673&lt;=35,"26-35",IF(E673&lt;=45,"36-45",IF(E673&lt;=55,"46-55","56-65")))))</f>
        <v>56-65</v>
      </c>
      <c r="P673" s="35" t="n">
        <f aca="false">COUNTIF($C$2:$C$1001,C673)</f>
        <v>1</v>
      </c>
      <c r="Q673" s="35" t="n">
        <f aca="false">IF(COUNTIF($C$2:C673,C673)=1,1,0)</f>
        <v>1</v>
      </c>
    </row>
    <row r="674" customFormat="false" ht="15" hidden="false" customHeight="false" outlineLevel="0" collapsed="false">
      <c r="A674" s="35" t="s">
        <v>1932</v>
      </c>
      <c r="B674" s="64" t="n">
        <v>45673</v>
      </c>
      <c r="C674" s="35" t="s">
        <v>1933</v>
      </c>
      <c r="D674" s="35" t="s">
        <v>442</v>
      </c>
      <c r="E674" s="35" t="n">
        <v>55</v>
      </c>
      <c r="F674" s="35" t="s">
        <v>234</v>
      </c>
      <c r="G674" s="35" t="s">
        <v>217</v>
      </c>
      <c r="H674" s="35" t="s">
        <v>209</v>
      </c>
      <c r="I674" s="35" t="s">
        <v>200</v>
      </c>
      <c r="J674" s="35" t="n">
        <v>1</v>
      </c>
      <c r="K674" s="65" t="n">
        <v>17212.99</v>
      </c>
      <c r="L674" s="65" t="n">
        <v>17212.99</v>
      </c>
      <c r="M674" s="66" t="n">
        <f aca="false">DATE(YEAR(B674),MONTH(B674),1)</f>
        <v>45658</v>
      </c>
      <c r="N674" s="35" t="str">
        <f aca="false">IF(G674="","Unknown",G674)</f>
        <v>Kolkata</v>
      </c>
      <c r="O674" s="35" t="str">
        <f aca="false">IF(E674="","Unknown",IF(E674&lt;=25,"18-25",IF(E674&lt;=35,"26-35",IF(E674&lt;=45,"36-45",IF(E674&lt;=55,"46-55","56-65")))))</f>
        <v>46-55</v>
      </c>
      <c r="P674" s="35" t="n">
        <f aca="false">COUNTIF($C$2:$C$1001,C674)</f>
        <v>1</v>
      </c>
      <c r="Q674" s="35" t="n">
        <f aca="false">IF(COUNTIF($C$2:C674,C674)=1,1,0)</f>
        <v>1</v>
      </c>
    </row>
    <row r="675" customFormat="false" ht="15" hidden="false" customHeight="false" outlineLevel="0" collapsed="false">
      <c r="A675" s="35" t="s">
        <v>1934</v>
      </c>
      <c r="B675" s="64" t="n">
        <v>45981</v>
      </c>
      <c r="C675" s="35" t="s">
        <v>1935</v>
      </c>
      <c r="D675" s="35" t="s">
        <v>1226</v>
      </c>
      <c r="E675" s="35" t="n">
        <v>47</v>
      </c>
      <c r="F675" s="35" t="s">
        <v>234</v>
      </c>
      <c r="G675" s="35"/>
      <c r="H675" s="35" t="s">
        <v>208</v>
      </c>
      <c r="I675" s="35" t="s">
        <v>200</v>
      </c>
      <c r="J675" s="35" t="n">
        <v>1</v>
      </c>
      <c r="K675" s="65" t="n">
        <v>14756.18</v>
      </c>
      <c r="L675" s="65" t="n">
        <v>14756.18</v>
      </c>
      <c r="M675" s="66" t="n">
        <f aca="false">DATE(YEAR(B675),MONTH(B675),1)</f>
        <v>45962</v>
      </c>
      <c r="N675" s="35" t="str">
        <f aca="false">IF(G675="","Unknown",G675)</f>
        <v>Unknown</v>
      </c>
      <c r="O675" s="35" t="str">
        <f aca="false">IF(E675="","Unknown",IF(E675&lt;=25,"18-25",IF(E675&lt;=35,"26-35",IF(E675&lt;=45,"36-45",IF(E675&lt;=55,"46-55","56-65")))))</f>
        <v>46-55</v>
      </c>
      <c r="P675" s="35" t="n">
        <f aca="false">COUNTIF($C$2:$C$1001,C675)</f>
        <v>1</v>
      </c>
      <c r="Q675" s="35" t="n">
        <f aca="false">IF(COUNTIF($C$2:C675,C675)=1,1,0)</f>
        <v>1</v>
      </c>
    </row>
    <row r="676" customFormat="false" ht="15" hidden="false" customHeight="false" outlineLevel="0" collapsed="false">
      <c r="A676" s="35" t="s">
        <v>1936</v>
      </c>
      <c r="B676" s="64" t="n">
        <v>45995</v>
      </c>
      <c r="C676" s="35" t="s">
        <v>1937</v>
      </c>
      <c r="D676" s="35" t="s">
        <v>1470</v>
      </c>
      <c r="E676" s="35" t="n">
        <v>47</v>
      </c>
      <c r="F676" s="35" t="s">
        <v>235</v>
      </c>
      <c r="G676" s="35" t="s">
        <v>219</v>
      </c>
      <c r="H676" s="35" t="s">
        <v>213</v>
      </c>
      <c r="I676" s="35" t="s">
        <v>204</v>
      </c>
      <c r="J676" s="35" t="n">
        <v>5</v>
      </c>
      <c r="K676" s="65" t="n">
        <v>21694.12</v>
      </c>
      <c r="L676" s="65" t="n">
        <v>108470.6</v>
      </c>
      <c r="M676" s="66" t="n">
        <f aca="false">DATE(YEAR(B676),MONTH(B676),1)</f>
        <v>45992</v>
      </c>
      <c r="N676" s="35" t="str">
        <f aca="false">IF(G676="","Unknown",G676)</f>
        <v>Mumbai</v>
      </c>
      <c r="O676" s="35" t="str">
        <f aca="false">IF(E676="","Unknown",IF(E676&lt;=25,"18-25",IF(E676&lt;=35,"26-35",IF(E676&lt;=45,"36-45",IF(E676&lt;=55,"46-55","56-65")))))</f>
        <v>46-55</v>
      </c>
      <c r="P676" s="35" t="n">
        <f aca="false">COUNTIF($C$2:$C$1001,C676)</f>
        <v>1</v>
      </c>
      <c r="Q676" s="35" t="n">
        <f aca="false">IF(COUNTIF($C$2:C676,C676)=1,1,0)</f>
        <v>1</v>
      </c>
    </row>
    <row r="677" customFormat="false" ht="15" hidden="false" customHeight="false" outlineLevel="0" collapsed="false">
      <c r="A677" s="35" t="s">
        <v>1938</v>
      </c>
      <c r="B677" s="64" t="n">
        <v>45859</v>
      </c>
      <c r="C677" s="35" t="s">
        <v>1939</v>
      </c>
      <c r="D677" s="35" t="s">
        <v>686</v>
      </c>
      <c r="E677" s="35" t="n">
        <v>31</v>
      </c>
      <c r="F677" s="35" t="s">
        <v>234</v>
      </c>
      <c r="G677" s="35" t="s">
        <v>220</v>
      </c>
      <c r="H677" s="35" t="s">
        <v>210</v>
      </c>
      <c r="I677" s="35" t="s">
        <v>201</v>
      </c>
      <c r="J677" s="35" t="n">
        <v>8</v>
      </c>
      <c r="K677" s="65" t="n">
        <v>5632.88</v>
      </c>
      <c r="L677" s="65" t="n">
        <v>45063.04</v>
      </c>
      <c r="M677" s="66" t="n">
        <f aca="false">DATE(YEAR(B677),MONTH(B677),1)</f>
        <v>45839</v>
      </c>
      <c r="N677" s="35" t="str">
        <f aca="false">IF(G677="","Unknown",G677)</f>
        <v>Hyderabad</v>
      </c>
      <c r="O677" s="35" t="str">
        <f aca="false">IF(E677="","Unknown",IF(E677&lt;=25,"18-25",IF(E677&lt;=35,"26-35",IF(E677&lt;=45,"36-45",IF(E677&lt;=55,"46-55","56-65")))))</f>
        <v>26-35</v>
      </c>
      <c r="P677" s="35" t="n">
        <f aca="false">COUNTIF($C$2:$C$1001,C677)</f>
        <v>1</v>
      </c>
      <c r="Q677" s="35" t="n">
        <f aca="false">IF(COUNTIF($C$2:C677,C677)=1,1,0)</f>
        <v>1</v>
      </c>
    </row>
    <row r="678" customFormat="false" ht="15" hidden="false" customHeight="false" outlineLevel="0" collapsed="false">
      <c r="A678" s="35" t="s">
        <v>1940</v>
      </c>
      <c r="B678" s="64" t="n">
        <v>45870</v>
      </c>
      <c r="C678" s="35" t="s">
        <v>1941</v>
      </c>
      <c r="D678" s="35" t="s">
        <v>1942</v>
      </c>
      <c r="E678" s="35" t="n">
        <v>35</v>
      </c>
      <c r="F678" s="35" t="s">
        <v>234</v>
      </c>
      <c r="G678" s="35" t="s">
        <v>220</v>
      </c>
      <c r="H678" s="35" t="s">
        <v>210</v>
      </c>
      <c r="I678" s="35" t="s">
        <v>201</v>
      </c>
      <c r="J678" s="35" t="n">
        <v>5</v>
      </c>
      <c r="K678" s="65" t="n">
        <v>16961.15</v>
      </c>
      <c r="L678" s="65" t="n">
        <v>84805.75</v>
      </c>
      <c r="M678" s="66" t="n">
        <f aca="false">DATE(YEAR(B678),MONTH(B678),1)</f>
        <v>45870</v>
      </c>
      <c r="N678" s="35" t="str">
        <f aca="false">IF(G678="","Unknown",G678)</f>
        <v>Hyderabad</v>
      </c>
      <c r="O678" s="35" t="str">
        <f aca="false">IF(E678="","Unknown",IF(E678&lt;=25,"18-25",IF(E678&lt;=35,"26-35",IF(E678&lt;=45,"36-45",IF(E678&lt;=55,"46-55","56-65")))))</f>
        <v>26-35</v>
      </c>
      <c r="P678" s="35" t="n">
        <f aca="false">COUNTIF($C$2:$C$1001,C678)</f>
        <v>1</v>
      </c>
      <c r="Q678" s="35" t="n">
        <f aca="false">IF(COUNTIF($C$2:C678,C678)=1,1,0)</f>
        <v>1</v>
      </c>
    </row>
    <row r="679" customFormat="false" ht="15" hidden="false" customHeight="false" outlineLevel="0" collapsed="false">
      <c r="A679" s="35" t="s">
        <v>1943</v>
      </c>
      <c r="B679" s="64" t="n">
        <v>45807</v>
      </c>
      <c r="C679" s="35" t="s">
        <v>1944</v>
      </c>
      <c r="D679" s="35" t="s">
        <v>797</v>
      </c>
      <c r="E679" s="35" t="n">
        <v>57</v>
      </c>
      <c r="F679" s="35" t="s">
        <v>235</v>
      </c>
      <c r="G679" s="35" t="s">
        <v>218</v>
      </c>
      <c r="H679" s="35" t="s">
        <v>209</v>
      </c>
      <c r="I679" s="35" t="s">
        <v>200</v>
      </c>
      <c r="J679" s="35" t="n">
        <v>3</v>
      </c>
      <c r="K679" s="65" t="n">
        <v>17500.41</v>
      </c>
      <c r="L679" s="65" t="n">
        <v>52501.23</v>
      </c>
      <c r="M679" s="66" t="n">
        <f aca="false">DATE(YEAR(B679),MONTH(B679),1)</f>
        <v>45778</v>
      </c>
      <c r="N679" s="35" t="str">
        <f aca="false">IF(G679="","Unknown",G679)</f>
        <v>Bengaluru</v>
      </c>
      <c r="O679" s="35" t="str">
        <f aca="false">IF(E679="","Unknown",IF(E679&lt;=25,"18-25",IF(E679&lt;=35,"26-35",IF(E679&lt;=45,"36-45",IF(E679&lt;=55,"46-55","56-65")))))</f>
        <v>56-65</v>
      </c>
      <c r="P679" s="35" t="n">
        <f aca="false">COUNTIF($C$2:$C$1001,C679)</f>
        <v>1</v>
      </c>
      <c r="Q679" s="35" t="n">
        <f aca="false">IF(COUNTIF($C$2:C679,C679)=1,1,0)</f>
        <v>1</v>
      </c>
    </row>
    <row r="680" customFormat="false" ht="15" hidden="false" customHeight="false" outlineLevel="0" collapsed="false">
      <c r="A680" s="35" t="s">
        <v>1945</v>
      </c>
      <c r="B680" s="64" t="n">
        <v>45842</v>
      </c>
      <c r="C680" s="35" t="s">
        <v>1946</v>
      </c>
      <c r="D680" s="35" t="s">
        <v>863</v>
      </c>
      <c r="E680" s="35" t="n">
        <v>23</v>
      </c>
      <c r="F680" s="35" t="s">
        <v>234</v>
      </c>
      <c r="G680" s="35" t="s">
        <v>219</v>
      </c>
      <c r="H680" s="35" t="s">
        <v>212</v>
      </c>
      <c r="I680" s="35" t="s">
        <v>203</v>
      </c>
      <c r="J680" s="35" t="n">
        <v>5</v>
      </c>
      <c r="K680" s="65" t="n">
        <v>47401.02</v>
      </c>
      <c r="L680" s="65" t="n">
        <v>237005.1</v>
      </c>
      <c r="M680" s="66" t="n">
        <f aca="false">DATE(YEAR(B680),MONTH(B680),1)</f>
        <v>45839</v>
      </c>
      <c r="N680" s="35" t="str">
        <f aca="false">IF(G680="","Unknown",G680)</f>
        <v>Mumbai</v>
      </c>
      <c r="O680" s="35" t="str">
        <f aca="false">IF(E680="","Unknown",IF(E680&lt;=25,"18-25",IF(E680&lt;=35,"26-35",IF(E680&lt;=45,"36-45",IF(E680&lt;=55,"46-55","56-65")))))</f>
        <v>18-25</v>
      </c>
      <c r="P680" s="35" t="n">
        <f aca="false">COUNTIF($C$2:$C$1001,C680)</f>
        <v>1</v>
      </c>
      <c r="Q680" s="35" t="n">
        <f aca="false">IF(COUNTIF($C$2:C680,C680)=1,1,0)</f>
        <v>1</v>
      </c>
    </row>
    <row r="681" customFormat="false" ht="15" hidden="false" customHeight="false" outlineLevel="0" collapsed="false">
      <c r="A681" s="35" t="s">
        <v>1947</v>
      </c>
      <c r="B681" s="64" t="n">
        <v>45845</v>
      </c>
      <c r="C681" s="35" t="s">
        <v>1948</v>
      </c>
      <c r="D681" s="35" t="s">
        <v>1949</v>
      </c>
      <c r="E681" s="35" t="n">
        <v>21</v>
      </c>
      <c r="F681" s="35" t="s">
        <v>234</v>
      </c>
      <c r="G681" s="35" t="s">
        <v>220</v>
      </c>
      <c r="H681" s="35" t="s">
        <v>209</v>
      </c>
      <c r="I681" s="35" t="s">
        <v>200</v>
      </c>
      <c r="J681" s="35" t="n">
        <v>7</v>
      </c>
      <c r="K681" s="65" t="n">
        <v>12194.92</v>
      </c>
      <c r="L681" s="65" t="n">
        <v>85364.44</v>
      </c>
      <c r="M681" s="66" t="n">
        <f aca="false">DATE(YEAR(B681),MONTH(B681),1)</f>
        <v>45839</v>
      </c>
      <c r="N681" s="35" t="str">
        <f aca="false">IF(G681="","Unknown",G681)</f>
        <v>Hyderabad</v>
      </c>
      <c r="O681" s="35" t="str">
        <f aca="false">IF(E681="","Unknown",IF(E681&lt;=25,"18-25",IF(E681&lt;=35,"26-35",IF(E681&lt;=45,"36-45",IF(E681&lt;=55,"46-55","56-65")))))</f>
        <v>18-25</v>
      </c>
      <c r="P681" s="35" t="n">
        <f aca="false">COUNTIF($C$2:$C$1001,C681)</f>
        <v>1</v>
      </c>
      <c r="Q681" s="35" t="n">
        <f aca="false">IF(COUNTIF($C$2:C681,C681)=1,1,0)</f>
        <v>1</v>
      </c>
    </row>
    <row r="682" customFormat="false" ht="15" hidden="false" customHeight="false" outlineLevel="0" collapsed="false">
      <c r="A682" s="35" t="s">
        <v>1950</v>
      </c>
      <c r="B682" s="64" t="n">
        <v>45811</v>
      </c>
      <c r="C682" s="35" t="s">
        <v>1951</v>
      </c>
      <c r="D682" s="35" t="s">
        <v>1952</v>
      </c>
      <c r="E682" s="35" t="n">
        <v>30</v>
      </c>
      <c r="F682" s="35" t="s">
        <v>235</v>
      </c>
      <c r="G682" s="35" t="s">
        <v>219</v>
      </c>
      <c r="H682" s="35" t="s">
        <v>209</v>
      </c>
      <c r="I682" s="35" t="s">
        <v>200</v>
      </c>
      <c r="J682" s="35" t="n">
        <v>8</v>
      </c>
      <c r="K682" s="65" t="n">
        <v>49052.97</v>
      </c>
      <c r="L682" s="65" t="n">
        <v>392423.76</v>
      </c>
      <c r="M682" s="66" t="n">
        <f aca="false">DATE(YEAR(B682),MONTH(B682),1)</f>
        <v>45809</v>
      </c>
      <c r="N682" s="35" t="str">
        <f aca="false">IF(G682="","Unknown",G682)</f>
        <v>Mumbai</v>
      </c>
      <c r="O682" s="35" t="str">
        <f aca="false">IF(E682="","Unknown",IF(E682&lt;=25,"18-25",IF(E682&lt;=35,"26-35",IF(E682&lt;=45,"36-45",IF(E682&lt;=55,"46-55","56-65")))))</f>
        <v>26-35</v>
      </c>
      <c r="P682" s="35" t="n">
        <f aca="false">COUNTIF($C$2:$C$1001,C682)</f>
        <v>1</v>
      </c>
      <c r="Q682" s="35" t="n">
        <f aca="false">IF(COUNTIF($C$2:C682,C682)=1,1,0)</f>
        <v>1</v>
      </c>
    </row>
    <row r="683" customFormat="false" ht="15" hidden="false" customHeight="false" outlineLevel="0" collapsed="false">
      <c r="A683" s="35" t="s">
        <v>1953</v>
      </c>
      <c r="B683" s="64" t="n">
        <v>45749</v>
      </c>
      <c r="C683" s="35" t="s">
        <v>1954</v>
      </c>
      <c r="D683" s="35" t="s">
        <v>1449</v>
      </c>
      <c r="E683" s="35" t="n">
        <v>64</v>
      </c>
      <c r="F683" s="35" t="s">
        <v>235</v>
      </c>
      <c r="G683" s="35" t="s">
        <v>220</v>
      </c>
      <c r="H683" s="35" t="s">
        <v>210</v>
      </c>
      <c r="I683" s="35" t="s">
        <v>201</v>
      </c>
      <c r="J683" s="35" t="n">
        <v>4</v>
      </c>
      <c r="K683" s="65" t="n">
        <v>22686.59</v>
      </c>
      <c r="L683" s="65" t="n">
        <v>90746.36</v>
      </c>
      <c r="M683" s="66" t="n">
        <f aca="false">DATE(YEAR(B683),MONTH(B683),1)</f>
        <v>45748</v>
      </c>
      <c r="N683" s="35" t="str">
        <f aca="false">IF(G683="","Unknown",G683)</f>
        <v>Hyderabad</v>
      </c>
      <c r="O683" s="35" t="str">
        <f aca="false">IF(E683="","Unknown",IF(E683&lt;=25,"18-25",IF(E683&lt;=35,"26-35",IF(E683&lt;=45,"36-45",IF(E683&lt;=55,"46-55","56-65")))))</f>
        <v>56-65</v>
      </c>
      <c r="P683" s="35" t="n">
        <f aca="false">COUNTIF($C$2:$C$1001,C683)</f>
        <v>1</v>
      </c>
      <c r="Q683" s="35" t="n">
        <f aca="false">IF(COUNTIF($C$2:C683,C683)=1,1,0)</f>
        <v>1</v>
      </c>
    </row>
    <row r="684" customFormat="false" ht="15" hidden="false" customHeight="false" outlineLevel="0" collapsed="false">
      <c r="A684" s="35" t="s">
        <v>1955</v>
      </c>
      <c r="B684" s="64" t="n">
        <v>45696</v>
      </c>
      <c r="C684" s="35" t="s">
        <v>1956</v>
      </c>
      <c r="D684" s="35" t="s">
        <v>503</v>
      </c>
      <c r="E684" s="35" t="n">
        <v>57</v>
      </c>
      <c r="F684" s="35" t="s">
        <v>234</v>
      </c>
      <c r="G684" s="35" t="s">
        <v>218</v>
      </c>
      <c r="H684" s="35" t="s">
        <v>208</v>
      </c>
      <c r="I684" s="35" t="s">
        <v>200</v>
      </c>
      <c r="J684" s="35" t="n">
        <v>5</v>
      </c>
      <c r="K684" s="65" t="n">
        <v>34508.6</v>
      </c>
      <c r="L684" s="65" t="n">
        <v>172543</v>
      </c>
      <c r="M684" s="66" t="n">
        <f aca="false">DATE(YEAR(B684),MONTH(B684),1)</f>
        <v>45689</v>
      </c>
      <c r="N684" s="35" t="str">
        <f aca="false">IF(G684="","Unknown",G684)</f>
        <v>Bengaluru</v>
      </c>
      <c r="O684" s="35" t="str">
        <f aca="false">IF(E684="","Unknown",IF(E684&lt;=25,"18-25",IF(E684&lt;=35,"26-35",IF(E684&lt;=45,"36-45",IF(E684&lt;=55,"46-55","56-65")))))</f>
        <v>56-65</v>
      </c>
      <c r="P684" s="35" t="n">
        <f aca="false">COUNTIF($C$2:$C$1001,C684)</f>
        <v>1</v>
      </c>
      <c r="Q684" s="35" t="n">
        <f aca="false">IF(COUNTIF($C$2:C684,C684)=1,1,0)</f>
        <v>1</v>
      </c>
    </row>
    <row r="685" customFormat="false" ht="15" hidden="false" customHeight="false" outlineLevel="0" collapsed="false">
      <c r="A685" s="35" t="s">
        <v>1957</v>
      </c>
      <c r="B685" s="64" t="n">
        <v>45954</v>
      </c>
      <c r="C685" s="35" t="s">
        <v>907</v>
      </c>
      <c r="D685" s="35" t="s">
        <v>1958</v>
      </c>
      <c r="E685" s="35" t="n">
        <v>53</v>
      </c>
      <c r="F685" s="35" t="s">
        <v>235</v>
      </c>
      <c r="G685" s="35" t="s">
        <v>219</v>
      </c>
      <c r="H685" s="35" t="s">
        <v>208</v>
      </c>
      <c r="I685" s="35" t="s">
        <v>200</v>
      </c>
      <c r="J685" s="35" t="n">
        <v>7</v>
      </c>
      <c r="K685" s="65" t="n">
        <v>21599.35</v>
      </c>
      <c r="L685" s="65" t="n">
        <v>151195.45</v>
      </c>
      <c r="M685" s="66" t="n">
        <f aca="false">DATE(YEAR(B685),MONTH(B685),1)</f>
        <v>45931</v>
      </c>
      <c r="N685" s="35" t="str">
        <f aca="false">IF(G685="","Unknown",G685)</f>
        <v>Mumbai</v>
      </c>
      <c r="O685" s="35" t="str">
        <f aca="false">IF(E685="","Unknown",IF(E685&lt;=25,"18-25",IF(E685&lt;=35,"26-35",IF(E685&lt;=45,"36-45",IF(E685&lt;=55,"46-55","56-65")))))</f>
        <v>46-55</v>
      </c>
      <c r="P685" s="35" t="n">
        <f aca="false">COUNTIF($C$2:$C$1001,C685)</f>
        <v>2</v>
      </c>
      <c r="Q685" s="35" t="n">
        <f aca="false">IF(COUNTIF($C$2:C685,C685)=1,1,0)</f>
        <v>0</v>
      </c>
    </row>
    <row r="686" customFormat="false" ht="15" hidden="false" customHeight="false" outlineLevel="0" collapsed="false">
      <c r="A686" s="35" t="s">
        <v>1959</v>
      </c>
      <c r="B686" s="64" t="n">
        <v>45997</v>
      </c>
      <c r="C686" s="35" t="s">
        <v>1960</v>
      </c>
      <c r="D686" s="35" t="s">
        <v>833</v>
      </c>
      <c r="E686" s="35" t="n">
        <v>47</v>
      </c>
      <c r="F686" s="35" t="s">
        <v>235</v>
      </c>
      <c r="G686" s="35" t="s">
        <v>220</v>
      </c>
      <c r="H686" s="35" t="s">
        <v>212</v>
      </c>
      <c r="I686" s="35" t="s">
        <v>203</v>
      </c>
      <c r="J686" s="35" t="n">
        <v>4</v>
      </c>
      <c r="K686" s="65" t="n">
        <v>30019.56</v>
      </c>
      <c r="L686" s="65" t="n">
        <v>120078.24</v>
      </c>
      <c r="M686" s="66" t="n">
        <f aca="false">DATE(YEAR(B686),MONTH(B686),1)</f>
        <v>45992</v>
      </c>
      <c r="N686" s="35" t="str">
        <f aca="false">IF(G686="","Unknown",G686)</f>
        <v>Hyderabad</v>
      </c>
      <c r="O686" s="35" t="str">
        <f aca="false">IF(E686="","Unknown",IF(E686&lt;=25,"18-25",IF(E686&lt;=35,"26-35",IF(E686&lt;=45,"36-45",IF(E686&lt;=55,"46-55","56-65")))))</f>
        <v>46-55</v>
      </c>
      <c r="P686" s="35" t="n">
        <f aca="false">COUNTIF($C$2:$C$1001,C686)</f>
        <v>1</v>
      </c>
      <c r="Q686" s="35" t="n">
        <f aca="false">IF(COUNTIF($C$2:C686,C686)=1,1,0)</f>
        <v>1</v>
      </c>
    </row>
    <row r="687" customFormat="false" ht="15" hidden="false" customHeight="false" outlineLevel="0" collapsed="false">
      <c r="A687" s="35" t="s">
        <v>1961</v>
      </c>
      <c r="B687" s="64" t="n">
        <v>45776</v>
      </c>
      <c r="C687" s="35" t="s">
        <v>1962</v>
      </c>
      <c r="D687" s="35" t="s">
        <v>1963</v>
      </c>
      <c r="E687" s="35" t="n">
        <v>38</v>
      </c>
      <c r="F687" s="35" t="s">
        <v>235</v>
      </c>
      <c r="G687" s="35" t="s">
        <v>219</v>
      </c>
      <c r="H687" s="35" t="s">
        <v>208</v>
      </c>
      <c r="I687" s="35" t="s">
        <v>200</v>
      </c>
      <c r="J687" s="35" t="n">
        <v>5</v>
      </c>
      <c r="K687" s="65" t="n">
        <v>24358.21</v>
      </c>
      <c r="L687" s="65" t="n">
        <v>121791.05</v>
      </c>
      <c r="M687" s="66" t="n">
        <f aca="false">DATE(YEAR(B687),MONTH(B687),1)</f>
        <v>45748</v>
      </c>
      <c r="N687" s="35" t="str">
        <f aca="false">IF(G687="","Unknown",G687)</f>
        <v>Mumbai</v>
      </c>
      <c r="O687" s="35" t="str">
        <f aca="false">IF(E687="","Unknown",IF(E687&lt;=25,"18-25",IF(E687&lt;=35,"26-35",IF(E687&lt;=45,"36-45",IF(E687&lt;=55,"46-55","56-65")))))</f>
        <v>36-45</v>
      </c>
      <c r="P687" s="35" t="n">
        <f aca="false">COUNTIF($C$2:$C$1001,C687)</f>
        <v>1</v>
      </c>
      <c r="Q687" s="35" t="n">
        <f aca="false">IF(COUNTIF($C$2:C687,C687)=1,1,0)</f>
        <v>1</v>
      </c>
    </row>
    <row r="688" customFormat="false" ht="15" hidden="false" customHeight="false" outlineLevel="0" collapsed="false">
      <c r="A688" s="35" t="s">
        <v>1964</v>
      </c>
      <c r="B688" s="64" t="n">
        <v>46022</v>
      </c>
      <c r="C688" s="35" t="s">
        <v>1965</v>
      </c>
      <c r="D688" s="35" t="s">
        <v>1966</v>
      </c>
      <c r="E688" s="35" t="n">
        <v>29</v>
      </c>
      <c r="F688" s="35" t="s">
        <v>235</v>
      </c>
      <c r="G688" s="35" t="s">
        <v>222</v>
      </c>
      <c r="H688" s="35" t="s">
        <v>212</v>
      </c>
      <c r="I688" s="35" t="s">
        <v>203</v>
      </c>
      <c r="J688" s="35" t="n">
        <v>6</v>
      </c>
      <c r="K688" s="65" t="n">
        <v>16639.76</v>
      </c>
      <c r="L688" s="65" t="n">
        <v>99838.56</v>
      </c>
      <c r="M688" s="66" t="n">
        <f aca="false">DATE(YEAR(B688),MONTH(B688),1)</f>
        <v>45992</v>
      </c>
      <c r="N688" s="35" t="str">
        <f aca="false">IF(G688="","Unknown",G688)</f>
        <v>Pune</v>
      </c>
      <c r="O688" s="35" t="str">
        <f aca="false">IF(E688="","Unknown",IF(E688&lt;=25,"18-25",IF(E688&lt;=35,"26-35",IF(E688&lt;=45,"36-45",IF(E688&lt;=55,"46-55","56-65")))))</f>
        <v>26-35</v>
      </c>
      <c r="P688" s="35" t="n">
        <f aca="false">COUNTIF($C$2:$C$1001,C688)</f>
        <v>1</v>
      </c>
      <c r="Q688" s="35" t="n">
        <f aca="false">IF(COUNTIF($C$2:C688,C688)=1,1,0)</f>
        <v>1</v>
      </c>
    </row>
    <row r="689" customFormat="false" ht="15" hidden="false" customHeight="false" outlineLevel="0" collapsed="false">
      <c r="A689" s="35" t="s">
        <v>1967</v>
      </c>
      <c r="B689" s="64" t="n">
        <v>45974</v>
      </c>
      <c r="C689" s="35" t="s">
        <v>1968</v>
      </c>
      <c r="D689" s="35" t="s">
        <v>1430</v>
      </c>
      <c r="E689" s="35" t="n">
        <v>56</v>
      </c>
      <c r="F689" s="35" t="s">
        <v>235</v>
      </c>
      <c r="G689" s="35" t="s">
        <v>217</v>
      </c>
      <c r="H689" s="35" t="s">
        <v>210</v>
      </c>
      <c r="I689" s="35" t="s">
        <v>201</v>
      </c>
      <c r="J689" s="35" t="n">
        <v>3</v>
      </c>
      <c r="K689" s="65" t="n">
        <v>48276.39</v>
      </c>
      <c r="L689" s="65" t="n">
        <v>144829.17</v>
      </c>
      <c r="M689" s="66" t="n">
        <f aca="false">DATE(YEAR(B689),MONTH(B689),1)</f>
        <v>45962</v>
      </c>
      <c r="N689" s="35" t="str">
        <f aca="false">IF(G689="","Unknown",G689)</f>
        <v>Kolkata</v>
      </c>
      <c r="O689" s="35" t="str">
        <f aca="false">IF(E689="","Unknown",IF(E689&lt;=25,"18-25",IF(E689&lt;=35,"26-35",IF(E689&lt;=45,"36-45",IF(E689&lt;=55,"46-55","56-65")))))</f>
        <v>56-65</v>
      </c>
      <c r="P689" s="35" t="n">
        <f aca="false">COUNTIF($C$2:$C$1001,C689)</f>
        <v>1</v>
      </c>
      <c r="Q689" s="35" t="n">
        <f aca="false">IF(COUNTIF($C$2:C689,C689)=1,1,0)</f>
        <v>1</v>
      </c>
    </row>
    <row r="690" customFormat="false" ht="15" hidden="false" customHeight="false" outlineLevel="0" collapsed="false">
      <c r="A690" s="35" t="s">
        <v>1969</v>
      </c>
      <c r="B690" s="64" t="n">
        <v>45695</v>
      </c>
      <c r="C690" s="35" t="s">
        <v>1970</v>
      </c>
      <c r="D690" s="35" t="s">
        <v>794</v>
      </c>
      <c r="E690" s="35" t="n">
        <v>59</v>
      </c>
      <c r="F690" s="35" t="s">
        <v>235</v>
      </c>
      <c r="G690" s="35" t="s">
        <v>217</v>
      </c>
      <c r="H690" s="35" t="s">
        <v>211</v>
      </c>
      <c r="I690" s="35" t="s">
        <v>202</v>
      </c>
      <c r="J690" s="35" t="n">
        <v>9</v>
      </c>
      <c r="K690" s="65" t="n">
        <v>40069.01</v>
      </c>
      <c r="L690" s="65" t="n">
        <v>360621.09</v>
      </c>
      <c r="M690" s="66" t="n">
        <f aca="false">DATE(YEAR(B690),MONTH(B690),1)</f>
        <v>45689</v>
      </c>
      <c r="N690" s="35" t="str">
        <f aca="false">IF(G690="","Unknown",G690)</f>
        <v>Kolkata</v>
      </c>
      <c r="O690" s="35" t="str">
        <f aca="false">IF(E690="","Unknown",IF(E690&lt;=25,"18-25",IF(E690&lt;=35,"26-35",IF(E690&lt;=45,"36-45",IF(E690&lt;=55,"46-55","56-65")))))</f>
        <v>56-65</v>
      </c>
      <c r="P690" s="35" t="n">
        <f aca="false">COUNTIF($C$2:$C$1001,C690)</f>
        <v>1</v>
      </c>
      <c r="Q690" s="35" t="n">
        <f aca="false">IF(COUNTIF($C$2:C690,C690)=1,1,0)</f>
        <v>1</v>
      </c>
    </row>
    <row r="691" customFormat="false" ht="15" hidden="false" customHeight="false" outlineLevel="0" collapsed="false">
      <c r="A691" s="35" t="s">
        <v>1971</v>
      </c>
      <c r="B691" s="64" t="n">
        <v>45872</v>
      </c>
      <c r="C691" s="35" t="s">
        <v>1972</v>
      </c>
      <c r="D691" s="35" t="s">
        <v>1594</v>
      </c>
      <c r="E691" s="35" t="n">
        <v>22</v>
      </c>
      <c r="F691" s="35" t="s">
        <v>234</v>
      </c>
      <c r="G691" s="35" t="s">
        <v>217</v>
      </c>
      <c r="H691" s="35" t="s">
        <v>209</v>
      </c>
      <c r="I691" s="35" t="s">
        <v>200</v>
      </c>
      <c r="J691" s="35" t="n">
        <v>9</v>
      </c>
      <c r="K691" s="65" t="n">
        <v>31937.15</v>
      </c>
      <c r="L691" s="65" t="n">
        <v>287434.35</v>
      </c>
      <c r="M691" s="66" t="n">
        <f aca="false">DATE(YEAR(B691),MONTH(B691),1)</f>
        <v>45870</v>
      </c>
      <c r="N691" s="35" t="str">
        <f aca="false">IF(G691="","Unknown",G691)</f>
        <v>Kolkata</v>
      </c>
      <c r="O691" s="35" t="str">
        <f aca="false">IF(E691="","Unknown",IF(E691&lt;=25,"18-25",IF(E691&lt;=35,"26-35",IF(E691&lt;=45,"36-45",IF(E691&lt;=55,"46-55","56-65")))))</f>
        <v>18-25</v>
      </c>
      <c r="P691" s="35" t="n">
        <f aca="false">COUNTIF($C$2:$C$1001,C691)</f>
        <v>1</v>
      </c>
      <c r="Q691" s="35" t="n">
        <f aca="false">IF(COUNTIF($C$2:C691,C691)=1,1,0)</f>
        <v>1</v>
      </c>
    </row>
    <row r="692" customFormat="false" ht="15" hidden="false" customHeight="false" outlineLevel="0" collapsed="false">
      <c r="A692" s="35" t="s">
        <v>1973</v>
      </c>
      <c r="B692" s="64" t="n">
        <v>45710</v>
      </c>
      <c r="C692" s="35" t="s">
        <v>1974</v>
      </c>
      <c r="D692" s="35" t="s">
        <v>899</v>
      </c>
      <c r="E692" s="35" t="n">
        <v>47</v>
      </c>
      <c r="F692" s="35" t="s">
        <v>235</v>
      </c>
      <c r="G692" s="35" t="s">
        <v>219</v>
      </c>
      <c r="H692" s="35" t="s">
        <v>208</v>
      </c>
      <c r="I692" s="35" t="s">
        <v>200</v>
      </c>
      <c r="J692" s="35" t="n">
        <v>7</v>
      </c>
      <c r="K692" s="65" t="n">
        <v>40754.69</v>
      </c>
      <c r="L692" s="65" t="n">
        <v>285282.83</v>
      </c>
      <c r="M692" s="66" t="n">
        <f aca="false">DATE(YEAR(B692),MONTH(B692),1)</f>
        <v>45689</v>
      </c>
      <c r="N692" s="35" t="str">
        <f aca="false">IF(G692="","Unknown",G692)</f>
        <v>Mumbai</v>
      </c>
      <c r="O692" s="35" t="str">
        <f aca="false">IF(E692="","Unknown",IF(E692&lt;=25,"18-25",IF(E692&lt;=35,"26-35",IF(E692&lt;=45,"36-45",IF(E692&lt;=55,"46-55","56-65")))))</f>
        <v>46-55</v>
      </c>
      <c r="P692" s="35" t="n">
        <f aca="false">COUNTIF($C$2:$C$1001,C692)</f>
        <v>1</v>
      </c>
      <c r="Q692" s="35" t="n">
        <f aca="false">IF(COUNTIF($C$2:C692,C692)=1,1,0)</f>
        <v>1</v>
      </c>
    </row>
    <row r="693" customFormat="false" ht="15" hidden="false" customHeight="false" outlineLevel="0" collapsed="false">
      <c r="A693" s="35" t="s">
        <v>1975</v>
      </c>
      <c r="B693" s="64" t="n">
        <v>46000</v>
      </c>
      <c r="C693" s="35" t="s">
        <v>1976</v>
      </c>
      <c r="D693" s="35" t="s">
        <v>768</v>
      </c>
      <c r="E693" s="35" t="n">
        <v>30</v>
      </c>
      <c r="F693" s="35" t="s">
        <v>234</v>
      </c>
      <c r="G693" s="35" t="s">
        <v>217</v>
      </c>
      <c r="H693" s="35" t="s">
        <v>210</v>
      </c>
      <c r="I693" s="35" t="s">
        <v>201</v>
      </c>
      <c r="J693" s="35" t="n">
        <v>10</v>
      </c>
      <c r="K693" s="65" t="n">
        <v>45877.49</v>
      </c>
      <c r="L693" s="65" t="n">
        <v>458774.9</v>
      </c>
      <c r="M693" s="66" t="n">
        <f aca="false">DATE(YEAR(B693),MONTH(B693),1)</f>
        <v>45992</v>
      </c>
      <c r="N693" s="35" t="str">
        <f aca="false">IF(G693="","Unknown",G693)</f>
        <v>Kolkata</v>
      </c>
      <c r="O693" s="35" t="str">
        <f aca="false">IF(E693="","Unknown",IF(E693&lt;=25,"18-25",IF(E693&lt;=35,"26-35",IF(E693&lt;=45,"36-45",IF(E693&lt;=55,"46-55","56-65")))))</f>
        <v>26-35</v>
      </c>
      <c r="P693" s="35" t="n">
        <f aca="false">COUNTIF($C$2:$C$1001,C693)</f>
        <v>1</v>
      </c>
      <c r="Q693" s="35" t="n">
        <f aca="false">IF(COUNTIF($C$2:C693,C693)=1,1,0)</f>
        <v>1</v>
      </c>
    </row>
    <row r="694" customFormat="false" ht="15" hidden="false" customHeight="false" outlineLevel="0" collapsed="false">
      <c r="A694" s="35" t="s">
        <v>1977</v>
      </c>
      <c r="B694" s="64" t="n">
        <v>45830</v>
      </c>
      <c r="C694" s="35" t="s">
        <v>1978</v>
      </c>
      <c r="D694" s="35" t="s">
        <v>1979</v>
      </c>
      <c r="E694" s="35" t="n">
        <v>30</v>
      </c>
      <c r="F694" s="35" t="s">
        <v>235</v>
      </c>
      <c r="G694" s="35" t="s">
        <v>219</v>
      </c>
      <c r="H694" s="35" t="s">
        <v>211</v>
      </c>
      <c r="I694" s="35" t="s">
        <v>202</v>
      </c>
      <c r="J694" s="35" t="n">
        <v>5</v>
      </c>
      <c r="K694" s="65" t="n">
        <v>20994.21</v>
      </c>
      <c r="L694" s="65" t="n">
        <v>104971.05</v>
      </c>
      <c r="M694" s="66" t="n">
        <f aca="false">DATE(YEAR(B694),MONTH(B694),1)</f>
        <v>45809</v>
      </c>
      <c r="N694" s="35" t="str">
        <f aca="false">IF(G694="","Unknown",G694)</f>
        <v>Mumbai</v>
      </c>
      <c r="O694" s="35" t="str">
        <f aca="false">IF(E694="","Unknown",IF(E694&lt;=25,"18-25",IF(E694&lt;=35,"26-35",IF(E694&lt;=45,"36-45",IF(E694&lt;=55,"46-55","56-65")))))</f>
        <v>26-35</v>
      </c>
      <c r="P694" s="35" t="n">
        <f aca="false">COUNTIF($C$2:$C$1001,C694)</f>
        <v>1</v>
      </c>
      <c r="Q694" s="35" t="n">
        <f aca="false">IF(COUNTIF($C$2:C694,C694)=1,1,0)</f>
        <v>1</v>
      </c>
    </row>
    <row r="695" customFormat="false" ht="15" hidden="false" customHeight="false" outlineLevel="0" collapsed="false">
      <c r="A695" s="35" t="s">
        <v>1980</v>
      </c>
      <c r="B695" s="64" t="n">
        <v>45991</v>
      </c>
      <c r="C695" s="35" t="s">
        <v>1981</v>
      </c>
      <c r="D695" s="35" t="s">
        <v>453</v>
      </c>
      <c r="E695" s="35" t="n">
        <v>26</v>
      </c>
      <c r="F695" s="35" t="s">
        <v>235</v>
      </c>
      <c r="G695" s="35" t="s">
        <v>222</v>
      </c>
      <c r="H695" s="35" t="s">
        <v>212</v>
      </c>
      <c r="I695" s="35" t="s">
        <v>203</v>
      </c>
      <c r="J695" s="35" t="n">
        <v>2</v>
      </c>
      <c r="K695" s="65" t="n">
        <v>3215.11</v>
      </c>
      <c r="L695" s="65" t="n">
        <v>6430.22</v>
      </c>
      <c r="M695" s="66" t="n">
        <f aca="false">DATE(YEAR(B695),MONTH(B695),1)</f>
        <v>45962</v>
      </c>
      <c r="N695" s="35" t="str">
        <f aca="false">IF(G695="","Unknown",G695)</f>
        <v>Pune</v>
      </c>
      <c r="O695" s="35" t="str">
        <f aca="false">IF(E695="","Unknown",IF(E695&lt;=25,"18-25",IF(E695&lt;=35,"26-35",IF(E695&lt;=45,"36-45",IF(E695&lt;=55,"46-55","56-65")))))</f>
        <v>26-35</v>
      </c>
      <c r="P695" s="35" t="n">
        <f aca="false">COUNTIF($C$2:$C$1001,C695)</f>
        <v>1</v>
      </c>
      <c r="Q695" s="35" t="n">
        <f aca="false">IF(COUNTIF($C$2:C695,C695)=1,1,0)</f>
        <v>1</v>
      </c>
    </row>
    <row r="696" customFormat="false" ht="15" hidden="false" customHeight="false" outlineLevel="0" collapsed="false">
      <c r="A696" s="35" t="s">
        <v>1982</v>
      </c>
      <c r="B696" s="64" t="n">
        <v>45972</v>
      </c>
      <c r="C696" s="35" t="s">
        <v>1983</v>
      </c>
      <c r="D696" s="35" t="s">
        <v>421</v>
      </c>
      <c r="E696" s="35" t="n">
        <v>62</v>
      </c>
      <c r="F696" s="35" t="s">
        <v>235</v>
      </c>
      <c r="G696" s="35" t="s">
        <v>223</v>
      </c>
      <c r="H696" s="35" t="s">
        <v>213</v>
      </c>
      <c r="I696" s="35" t="s">
        <v>204</v>
      </c>
      <c r="J696" s="35" t="n">
        <v>4</v>
      </c>
      <c r="K696" s="65" t="n">
        <v>26936.34</v>
      </c>
      <c r="L696" s="65" t="n">
        <v>107745.36</v>
      </c>
      <c r="M696" s="66" t="n">
        <f aca="false">DATE(YEAR(B696),MONTH(B696),1)</f>
        <v>45962</v>
      </c>
      <c r="N696" s="35" t="str">
        <f aca="false">IF(G696="","Unknown",G696)</f>
        <v>Gaya</v>
      </c>
      <c r="O696" s="35" t="str">
        <f aca="false">IF(E696="","Unknown",IF(E696&lt;=25,"18-25",IF(E696&lt;=35,"26-35",IF(E696&lt;=45,"36-45",IF(E696&lt;=55,"46-55","56-65")))))</f>
        <v>56-65</v>
      </c>
      <c r="P696" s="35" t="n">
        <f aca="false">COUNTIF($C$2:$C$1001,C696)</f>
        <v>1</v>
      </c>
      <c r="Q696" s="35" t="n">
        <f aca="false">IF(COUNTIF($C$2:C696,C696)=1,1,0)</f>
        <v>1</v>
      </c>
    </row>
    <row r="697" customFormat="false" ht="15" hidden="false" customHeight="false" outlineLevel="0" collapsed="false">
      <c r="A697" s="35" t="s">
        <v>1984</v>
      </c>
      <c r="B697" s="64" t="n">
        <v>45765</v>
      </c>
      <c r="C697" s="35" t="s">
        <v>1884</v>
      </c>
      <c r="D697" s="35" t="s">
        <v>1117</v>
      </c>
      <c r="E697" s="35" t="n">
        <v>51</v>
      </c>
      <c r="F697" s="35" t="s">
        <v>235</v>
      </c>
      <c r="G697" s="35" t="s">
        <v>222</v>
      </c>
      <c r="H697" s="35" t="s">
        <v>208</v>
      </c>
      <c r="I697" s="35" t="s">
        <v>200</v>
      </c>
      <c r="J697" s="35" t="n">
        <v>9</v>
      </c>
      <c r="K697" s="65" t="n">
        <v>29470.1</v>
      </c>
      <c r="L697" s="65" t="n">
        <v>265230.9</v>
      </c>
      <c r="M697" s="66" t="n">
        <f aca="false">DATE(YEAR(B697),MONTH(B697),1)</f>
        <v>45748</v>
      </c>
      <c r="N697" s="35" t="str">
        <f aca="false">IF(G697="","Unknown",G697)</f>
        <v>Pune</v>
      </c>
      <c r="O697" s="35" t="str">
        <f aca="false">IF(E697="","Unknown",IF(E697&lt;=25,"18-25",IF(E697&lt;=35,"26-35",IF(E697&lt;=45,"36-45",IF(E697&lt;=55,"46-55","56-65")))))</f>
        <v>46-55</v>
      </c>
      <c r="P697" s="35" t="n">
        <f aca="false">COUNTIF($C$2:$C$1001,C697)</f>
        <v>2</v>
      </c>
      <c r="Q697" s="35" t="n">
        <f aca="false">IF(COUNTIF($C$2:C697,C697)=1,1,0)</f>
        <v>0</v>
      </c>
    </row>
    <row r="698" customFormat="false" ht="15" hidden="false" customHeight="false" outlineLevel="0" collapsed="false">
      <c r="A698" s="35" t="s">
        <v>1985</v>
      </c>
      <c r="B698" s="64" t="n">
        <v>45720</v>
      </c>
      <c r="C698" s="35" t="s">
        <v>1986</v>
      </c>
      <c r="D698" s="35" t="s">
        <v>403</v>
      </c>
      <c r="E698" s="35" t="n">
        <v>54</v>
      </c>
      <c r="F698" s="35" t="s">
        <v>235</v>
      </c>
      <c r="G698" s="35" t="s">
        <v>221</v>
      </c>
      <c r="H698" s="35" t="s">
        <v>210</v>
      </c>
      <c r="I698" s="35" t="s">
        <v>201</v>
      </c>
      <c r="J698" s="35" t="n">
        <v>4</v>
      </c>
      <c r="K698" s="65" t="n">
        <v>31076.31</v>
      </c>
      <c r="L698" s="65" t="n">
        <v>124305.24</v>
      </c>
      <c r="M698" s="66" t="n">
        <f aca="false">DATE(YEAR(B698),MONTH(B698),1)</f>
        <v>45717</v>
      </c>
      <c r="N698" s="35" t="str">
        <f aca="false">IF(G698="","Unknown",G698)</f>
        <v>Delhi</v>
      </c>
      <c r="O698" s="35" t="str">
        <f aca="false">IF(E698="","Unknown",IF(E698&lt;=25,"18-25",IF(E698&lt;=35,"26-35",IF(E698&lt;=45,"36-45",IF(E698&lt;=55,"46-55","56-65")))))</f>
        <v>46-55</v>
      </c>
      <c r="P698" s="35" t="n">
        <f aca="false">COUNTIF($C$2:$C$1001,C698)</f>
        <v>2</v>
      </c>
      <c r="Q698" s="35" t="n">
        <f aca="false">IF(COUNTIF($C$2:C698,C698)=1,1,0)</f>
        <v>1</v>
      </c>
    </row>
    <row r="699" customFormat="false" ht="15" hidden="false" customHeight="false" outlineLevel="0" collapsed="false">
      <c r="A699" s="35" t="s">
        <v>1987</v>
      </c>
      <c r="B699" s="64" t="n">
        <v>45844</v>
      </c>
      <c r="C699" s="35" t="s">
        <v>1988</v>
      </c>
      <c r="D699" s="35" t="s">
        <v>1102</v>
      </c>
      <c r="E699" s="35" t="n">
        <v>24</v>
      </c>
      <c r="F699" s="35" t="s">
        <v>234</v>
      </c>
      <c r="G699" s="35" t="s">
        <v>222</v>
      </c>
      <c r="H699" s="35" t="s">
        <v>212</v>
      </c>
      <c r="I699" s="35" t="s">
        <v>203</v>
      </c>
      <c r="J699" s="35" t="n">
        <v>4</v>
      </c>
      <c r="K699" s="65" t="n">
        <v>43864.35</v>
      </c>
      <c r="L699" s="65" t="n">
        <v>175457.4</v>
      </c>
      <c r="M699" s="66" t="n">
        <f aca="false">DATE(YEAR(B699),MONTH(B699),1)</f>
        <v>45839</v>
      </c>
      <c r="N699" s="35" t="str">
        <f aca="false">IF(G699="","Unknown",G699)</f>
        <v>Pune</v>
      </c>
      <c r="O699" s="35" t="str">
        <f aca="false">IF(E699="","Unknown",IF(E699&lt;=25,"18-25",IF(E699&lt;=35,"26-35",IF(E699&lt;=45,"36-45",IF(E699&lt;=55,"46-55","56-65")))))</f>
        <v>18-25</v>
      </c>
      <c r="P699" s="35" t="n">
        <f aca="false">COUNTIF($C$2:$C$1001,C699)</f>
        <v>1</v>
      </c>
      <c r="Q699" s="35" t="n">
        <f aca="false">IF(COUNTIF($C$2:C699,C699)=1,1,0)</f>
        <v>1</v>
      </c>
    </row>
    <row r="700" customFormat="false" ht="15" hidden="false" customHeight="false" outlineLevel="0" collapsed="false">
      <c r="A700" s="35" t="s">
        <v>1989</v>
      </c>
      <c r="B700" s="64" t="n">
        <v>45797</v>
      </c>
      <c r="C700" s="35" t="s">
        <v>1990</v>
      </c>
      <c r="D700" s="35" t="s">
        <v>1952</v>
      </c>
      <c r="E700" s="35"/>
      <c r="F700" s="35" t="s">
        <v>235</v>
      </c>
      <c r="G700" s="35" t="s">
        <v>219</v>
      </c>
      <c r="H700" s="35" t="s">
        <v>209</v>
      </c>
      <c r="I700" s="35" t="s">
        <v>200</v>
      </c>
      <c r="J700" s="35" t="n">
        <v>9</v>
      </c>
      <c r="K700" s="65" t="n">
        <v>11808.33</v>
      </c>
      <c r="L700" s="65" t="n">
        <v>106274.97</v>
      </c>
      <c r="M700" s="66" t="n">
        <f aca="false">DATE(YEAR(B700),MONTH(B700),1)</f>
        <v>45778</v>
      </c>
      <c r="N700" s="35" t="str">
        <f aca="false">IF(G700="","Unknown",G700)</f>
        <v>Mumbai</v>
      </c>
      <c r="O700" s="35" t="str">
        <f aca="false">IF(E700="","Unknown",IF(E700&lt;=25,"18-25",IF(E700&lt;=35,"26-35",IF(E700&lt;=45,"36-45",IF(E700&lt;=55,"46-55","56-65")))))</f>
        <v>Unknown</v>
      </c>
      <c r="P700" s="35" t="n">
        <f aca="false">COUNTIF($C$2:$C$1001,C700)</f>
        <v>1</v>
      </c>
      <c r="Q700" s="35" t="n">
        <f aca="false">IF(COUNTIF($C$2:C700,C700)=1,1,0)</f>
        <v>1</v>
      </c>
    </row>
    <row r="701" customFormat="false" ht="15" hidden="false" customHeight="false" outlineLevel="0" collapsed="false">
      <c r="A701" s="35" t="s">
        <v>1991</v>
      </c>
      <c r="B701" s="64" t="n">
        <v>45901</v>
      </c>
      <c r="C701" s="35" t="s">
        <v>1992</v>
      </c>
      <c r="D701" s="35" t="s">
        <v>666</v>
      </c>
      <c r="E701" s="35" t="n">
        <v>22</v>
      </c>
      <c r="F701" s="35" t="s">
        <v>234</v>
      </c>
      <c r="G701" s="35" t="s">
        <v>223</v>
      </c>
      <c r="H701" s="35" t="s">
        <v>211</v>
      </c>
      <c r="I701" s="35" t="s">
        <v>202</v>
      </c>
      <c r="J701" s="35" t="n">
        <v>2</v>
      </c>
      <c r="K701" s="65" t="n">
        <v>38128.32</v>
      </c>
      <c r="L701" s="65" t="n">
        <v>76256.64</v>
      </c>
      <c r="M701" s="66" t="n">
        <f aca="false">DATE(YEAR(B701),MONTH(B701),1)</f>
        <v>45901</v>
      </c>
      <c r="N701" s="35" t="str">
        <f aca="false">IF(G701="","Unknown",G701)</f>
        <v>Gaya</v>
      </c>
      <c r="O701" s="35" t="str">
        <f aca="false">IF(E701="","Unknown",IF(E701&lt;=25,"18-25",IF(E701&lt;=35,"26-35",IF(E701&lt;=45,"36-45",IF(E701&lt;=55,"46-55","56-65")))))</f>
        <v>18-25</v>
      </c>
      <c r="P701" s="35" t="n">
        <f aca="false">COUNTIF($C$2:$C$1001,C701)</f>
        <v>1</v>
      </c>
      <c r="Q701" s="35" t="n">
        <f aca="false">IF(COUNTIF($C$2:C701,C701)=1,1,0)</f>
        <v>1</v>
      </c>
    </row>
    <row r="702" customFormat="false" ht="15" hidden="false" customHeight="false" outlineLevel="0" collapsed="false">
      <c r="A702" s="35" t="s">
        <v>1993</v>
      </c>
      <c r="B702" s="64" t="n">
        <v>45869</v>
      </c>
      <c r="C702" s="35" t="s">
        <v>1994</v>
      </c>
      <c r="D702" s="35" t="s">
        <v>1979</v>
      </c>
      <c r="E702" s="35" t="n">
        <v>30</v>
      </c>
      <c r="F702" s="35" t="s">
        <v>235</v>
      </c>
      <c r="G702" s="35" t="s">
        <v>217</v>
      </c>
      <c r="H702" s="35" t="s">
        <v>210</v>
      </c>
      <c r="I702" s="35" t="s">
        <v>201</v>
      </c>
      <c r="J702" s="35" t="n">
        <v>9</v>
      </c>
      <c r="K702" s="65" t="n">
        <v>28222.97</v>
      </c>
      <c r="L702" s="65" t="n">
        <v>254006.73</v>
      </c>
      <c r="M702" s="66" t="n">
        <f aca="false">DATE(YEAR(B702),MONTH(B702),1)</f>
        <v>45839</v>
      </c>
      <c r="N702" s="35" t="str">
        <f aca="false">IF(G702="","Unknown",G702)</f>
        <v>Kolkata</v>
      </c>
      <c r="O702" s="35" t="str">
        <f aca="false">IF(E702="","Unknown",IF(E702&lt;=25,"18-25",IF(E702&lt;=35,"26-35",IF(E702&lt;=45,"36-45",IF(E702&lt;=55,"46-55","56-65")))))</f>
        <v>26-35</v>
      </c>
      <c r="P702" s="35" t="n">
        <f aca="false">COUNTIF($C$2:$C$1001,C702)</f>
        <v>1</v>
      </c>
      <c r="Q702" s="35" t="n">
        <f aca="false">IF(COUNTIF($C$2:C702,C702)=1,1,0)</f>
        <v>1</v>
      </c>
    </row>
    <row r="703" customFormat="false" ht="15" hidden="false" customHeight="false" outlineLevel="0" collapsed="false">
      <c r="A703" s="35" t="s">
        <v>1995</v>
      </c>
      <c r="B703" s="64" t="n">
        <v>45675</v>
      </c>
      <c r="C703" s="35" t="s">
        <v>1996</v>
      </c>
      <c r="D703" s="35" t="s">
        <v>1997</v>
      </c>
      <c r="E703" s="35" t="n">
        <v>38</v>
      </c>
      <c r="F703" s="35" t="s">
        <v>234</v>
      </c>
      <c r="G703" s="35" t="s">
        <v>223</v>
      </c>
      <c r="H703" s="35" t="s">
        <v>210</v>
      </c>
      <c r="I703" s="35" t="s">
        <v>201</v>
      </c>
      <c r="J703" s="35" t="n">
        <v>6</v>
      </c>
      <c r="K703" s="65" t="n">
        <v>21720.56</v>
      </c>
      <c r="L703" s="65" t="n">
        <v>130323.36</v>
      </c>
      <c r="M703" s="66" t="n">
        <f aca="false">DATE(YEAR(B703),MONTH(B703),1)</f>
        <v>45658</v>
      </c>
      <c r="N703" s="35" t="str">
        <f aca="false">IF(G703="","Unknown",G703)</f>
        <v>Gaya</v>
      </c>
      <c r="O703" s="35" t="str">
        <f aca="false">IF(E703="","Unknown",IF(E703&lt;=25,"18-25",IF(E703&lt;=35,"26-35",IF(E703&lt;=45,"36-45",IF(E703&lt;=55,"46-55","56-65")))))</f>
        <v>36-45</v>
      </c>
      <c r="P703" s="35" t="n">
        <f aca="false">COUNTIF($C$2:$C$1001,C703)</f>
        <v>1</v>
      </c>
      <c r="Q703" s="35" t="n">
        <f aca="false">IF(COUNTIF($C$2:C703,C703)=1,1,0)</f>
        <v>1</v>
      </c>
    </row>
    <row r="704" customFormat="false" ht="15" hidden="false" customHeight="false" outlineLevel="0" collapsed="false">
      <c r="A704" s="35" t="s">
        <v>1998</v>
      </c>
      <c r="B704" s="64" t="n">
        <v>45887</v>
      </c>
      <c r="C704" s="35" t="s">
        <v>1999</v>
      </c>
      <c r="D704" s="35" t="s">
        <v>1379</v>
      </c>
      <c r="E704" s="35" t="n">
        <v>38</v>
      </c>
      <c r="F704" s="35" t="s">
        <v>234</v>
      </c>
      <c r="G704" s="35" t="s">
        <v>223</v>
      </c>
      <c r="H704" s="35" t="s">
        <v>212</v>
      </c>
      <c r="I704" s="35" t="s">
        <v>203</v>
      </c>
      <c r="J704" s="35" t="n">
        <v>3</v>
      </c>
      <c r="K704" s="65" t="n">
        <v>4568.61</v>
      </c>
      <c r="L704" s="65" t="n">
        <v>13705.83</v>
      </c>
      <c r="M704" s="66" t="n">
        <f aca="false">DATE(YEAR(B704),MONTH(B704),1)</f>
        <v>45870</v>
      </c>
      <c r="N704" s="35" t="str">
        <f aca="false">IF(G704="","Unknown",G704)</f>
        <v>Gaya</v>
      </c>
      <c r="O704" s="35" t="str">
        <f aca="false">IF(E704="","Unknown",IF(E704&lt;=25,"18-25",IF(E704&lt;=35,"26-35",IF(E704&lt;=45,"36-45",IF(E704&lt;=55,"46-55","56-65")))))</f>
        <v>36-45</v>
      </c>
      <c r="P704" s="35" t="n">
        <f aca="false">COUNTIF($C$2:$C$1001,C704)</f>
        <v>1</v>
      </c>
      <c r="Q704" s="35" t="n">
        <f aca="false">IF(COUNTIF($C$2:C704,C704)=1,1,0)</f>
        <v>1</v>
      </c>
    </row>
    <row r="705" customFormat="false" ht="15" hidden="false" customHeight="false" outlineLevel="0" collapsed="false">
      <c r="A705" s="35" t="s">
        <v>2000</v>
      </c>
      <c r="B705" s="64" t="n">
        <v>45791</v>
      </c>
      <c r="C705" s="35" t="s">
        <v>2001</v>
      </c>
      <c r="D705" s="35" t="s">
        <v>654</v>
      </c>
      <c r="E705" s="35" t="n">
        <v>19</v>
      </c>
      <c r="F705" s="35" t="s">
        <v>235</v>
      </c>
      <c r="G705" s="35" t="s">
        <v>219</v>
      </c>
      <c r="H705" s="35" t="s">
        <v>210</v>
      </c>
      <c r="I705" s="35" t="s">
        <v>201</v>
      </c>
      <c r="J705" s="35" t="n">
        <v>3</v>
      </c>
      <c r="K705" s="65" t="n">
        <v>11492.49</v>
      </c>
      <c r="L705" s="65" t="n">
        <v>34477.47</v>
      </c>
      <c r="M705" s="66" t="n">
        <f aca="false">DATE(YEAR(B705),MONTH(B705),1)</f>
        <v>45778</v>
      </c>
      <c r="N705" s="35" t="str">
        <f aca="false">IF(G705="","Unknown",G705)</f>
        <v>Mumbai</v>
      </c>
      <c r="O705" s="35" t="str">
        <f aca="false">IF(E705="","Unknown",IF(E705&lt;=25,"18-25",IF(E705&lt;=35,"26-35",IF(E705&lt;=45,"36-45",IF(E705&lt;=55,"46-55","56-65")))))</f>
        <v>18-25</v>
      </c>
      <c r="P705" s="35" t="n">
        <f aca="false">COUNTIF($C$2:$C$1001,C705)</f>
        <v>1</v>
      </c>
      <c r="Q705" s="35" t="n">
        <f aca="false">IF(COUNTIF($C$2:C705,C705)=1,1,0)</f>
        <v>1</v>
      </c>
    </row>
    <row r="706" customFormat="false" ht="15" hidden="false" customHeight="false" outlineLevel="0" collapsed="false">
      <c r="A706" s="35" t="s">
        <v>2002</v>
      </c>
      <c r="B706" s="64" t="n">
        <v>45782</v>
      </c>
      <c r="C706" s="35" t="s">
        <v>2003</v>
      </c>
      <c r="D706" s="35" t="s">
        <v>917</v>
      </c>
      <c r="E706" s="35" t="n">
        <v>43</v>
      </c>
      <c r="F706" s="35" t="s">
        <v>235</v>
      </c>
      <c r="G706" s="35" t="s">
        <v>221</v>
      </c>
      <c r="H706" s="35" t="s">
        <v>212</v>
      </c>
      <c r="I706" s="35" t="s">
        <v>203</v>
      </c>
      <c r="J706" s="35" t="n">
        <v>3</v>
      </c>
      <c r="K706" s="65" t="n">
        <v>23252.08</v>
      </c>
      <c r="L706" s="65" t="n">
        <v>69756.24</v>
      </c>
      <c r="M706" s="66" t="n">
        <f aca="false">DATE(YEAR(B706),MONTH(B706),1)</f>
        <v>45778</v>
      </c>
      <c r="N706" s="35" t="str">
        <f aca="false">IF(G706="","Unknown",G706)</f>
        <v>Delhi</v>
      </c>
      <c r="O706" s="35" t="str">
        <f aca="false">IF(E706="","Unknown",IF(E706&lt;=25,"18-25",IF(E706&lt;=35,"26-35",IF(E706&lt;=45,"36-45",IF(E706&lt;=55,"46-55","56-65")))))</f>
        <v>36-45</v>
      </c>
      <c r="P706" s="35" t="n">
        <f aca="false">COUNTIF($C$2:$C$1001,C706)</f>
        <v>1</v>
      </c>
      <c r="Q706" s="35" t="n">
        <f aca="false">IF(COUNTIF($C$2:C706,C706)=1,1,0)</f>
        <v>1</v>
      </c>
    </row>
    <row r="707" customFormat="false" ht="15" hidden="false" customHeight="false" outlineLevel="0" collapsed="false">
      <c r="A707" s="35" t="s">
        <v>2004</v>
      </c>
      <c r="B707" s="64" t="n">
        <v>45980</v>
      </c>
      <c r="C707" s="35" t="s">
        <v>2005</v>
      </c>
      <c r="D707" s="35" t="s">
        <v>713</v>
      </c>
      <c r="E707" s="35" t="n">
        <v>60</v>
      </c>
      <c r="F707" s="35" t="s">
        <v>234</v>
      </c>
      <c r="G707" s="35" t="s">
        <v>216</v>
      </c>
      <c r="H707" s="35" t="s">
        <v>210</v>
      </c>
      <c r="I707" s="35" t="s">
        <v>201</v>
      </c>
      <c r="J707" s="35" t="n">
        <v>9</v>
      </c>
      <c r="K707" s="65" t="n">
        <v>31686.77</v>
      </c>
      <c r="L707" s="65" t="n">
        <v>285180.93</v>
      </c>
      <c r="M707" s="66" t="n">
        <f aca="false">DATE(YEAR(B707),MONTH(B707),1)</f>
        <v>45962</v>
      </c>
      <c r="N707" s="35" t="str">
        <f aca="false">IF(G707="","Unknown",G707)</f>
        <v>Patna</v>
      </c>
      <c r="O707" s="35" t="str">
        <f aca="false">IF(E707="","Unknown",IF(E707&lt;=25,"18-25",IF(E707&lt;=35,"26-35",IF(E707&lt;=45,"36-45",IF(E707&lt;=55,"46-55","56-65")))))</f>
        <v>56-65</v>
      </c>
      <c r="P707" s="35" t="n">
        <f aca="false">COUNTIF($C$2:$C$1001,C707)</f>
        <v>1</v>
      </c>
      <c r="Q707" s="35" t="n">
        <f aca="false">IF(COUNTIF($C$2:C707,C707)=1,1,0)</f>
        <v>1</v>
      </c>
    </row>
    <row r="708" customFormat="false" ht="15" hidden="false" customHeight="false" outlineLevel="0" collapsed="false">
      <c r="A708" s="35" t="s">
        <v>2006</v>
      </c>
      <c r="B708" s="64" t="n">
        <v>45936</v>
      </c>
      <c r="C708" s="35" t="s">
        <v>2007</v>
      </c>
      <c r="D708" s="35" t="s">
        <v>1347</v>
      </c>
      <c r="E708" s="35" t="n">
        <v>21</v>
      </c>
      <c r="F708" s="35" t="s">
        <v>234</v>
      </c>
      <c r="G708" s="35" t="s">
        <v>217</v>
      </c>
      <c r="H708" s="35" t="s">
        <v>208</v>
      </c>
      <c r="I708" s="35" t="s">
        <v>200</v>
      </c>
      <c r="J708" s="35" t="n">
        <v>2</v>
      </c>
      <c r="K708" s="65" t="n">
        <v>37278.21</v>
      </c>
      <c r="L708" s="65" t="n">
        <v>74556.42</v>
      </c>
      <c r="M708" s="66" t="n">
        <f aca="false">DATE(YEAR(B708),MONTH(B708),1)</f>
        <v>45931</v>
      </c>
      <c r="N708" s="35" t="str">
        <f aca="false">IF(G708="","Unknown",G708)</f>
        <v>Kolkata</v>
      </c>
      <c r="O708" s="35" t="str">
        <f aca="false">IF(E708="","Unknown",IF(E708&lt;=25,"18-25",IF(E708&lt;=35,"26-35",IF(E708&lt;=45,"36-45",IF(E708&lt;=55,"46-55","56-65")))))</f>
        <v>18-25</v>
      </c>
      <c r="P708" s="35" t="n">
        <f aca="false">COUNTIF($C$2:$C$1001,C708)</f>
        <v>1</v>
      </c>
      <c r="Q708" s="35" t="n">
        <f aca="false">IF(COUNTIF($C$2:C708,C708)=1,1,0)</f>
        <v>1</v>
      </c>
    </row>
    <row r="709" customFormat="false" ht="15" hidden="false" customHeight="false" outlineLevel="0" collapsed="false">
      <c r="A709" s="35" t="s">
        <v>2008</v>
      </c>
      <c r="B709" s="64" t="n">
        <v>45770</v>
      </c>
      <c r="C709" s="35" t="s">
        <v>2009</v>
      </c>
      <c r="D709" s="35" t="s">
        <v>2010</v>
      </c>
      <c r="E709" s="35" t="n">
        <v>28</v>
      </c>
      <c r="F709" s="35" t="s">
        <v>234</v>
      </c>
      <c r="G709" s="35" t="s">
        <v>218</v>
      </c>
      <c r="H709" s="35" t="s">
        <v>208</v>
      </c>
      <c r="I709" s="35" t="s">
        <v>200</v>
      </c>
      <c r="J709" s="35" t="n">
        <v>6</v>
      </c>
      <c r="K709" s="65" t="n">
        <v>12680.8</v>
      </c>
      <c r="L709" s="65" t="n">
        <v>76084.8</v>
      </c>
      <c r="M709" s="66" t="n">
        <f aca="false">DATE(YEAR(B709),MONTH(B709),1)</f>
        <v>45748</v>
      </c>
      <c r="N709" s="35" t="str">
        <f aca="false">IF(G709="","Unknown",G709)</f>
        <v>Bengaluru</v>
      </c>
      <c r="O709" s="35" t="str">
        <f aca="false">IF(E709="","Unknown",IF(E709&lt;=25,"18-25",IF(E709&lt;=35,"26-35",IF(E709&lt;=45,"36-45",IF(E709&lt;=55,"46-55","56-65")))))</f>
        <v>26-35</v>
      </c>
      <c r="P709" s="35" t="n">
        <f aca="false">COUNTIF($C$2:$C$1001,C709)</f>
        <v>1</v>
      </c>
      <c r="Q709" s="35" t="n">
        <f aca="false">IF(COUNTIF($C$2:C709,C709)=1,1,0)</f>
        <v>1</v>
      </c>
    </row>
    <row r="710" customFormat="false" ht="15" hidden="false" customHeight="false" outlineLevel="0" collapsed="false">
      <c r="A710" s="35" t="s">
        <v>2011</v>
      </c>
      <c r="B710" s="64" t="n">
        <v>45801</v>
      </c>
      <c r="C710" s="35" t="s">
        <v>2012</v>
      </c>
      <c r="D710" s="35" t="s">
        <v>418</v>
      </c>
      <c r="E710" s="35" t="n">
        <v>51</v>
      </c>
      <c r="F710" s="35" t="s">
        <v>235</v>
      </c>
      <c r="G710" s="35" t="s">
        <v>220</v>
      </c>
      <c r="H710" s="35" t="s">
        <v>211</v>
      </c>
      <c r="I710" s="35" t="s">
        <v>202</v>
      </c>
      <c r="J710" s="35" t="n">
        <v>4</v>
      </c>
      <c r="K710" s="65" t="n">
        <v>17704.67</v>
      </c>
      <c r="L710" s="65" t="n">
        <v>70818.68</v>
      </c>
      <c r="M710" s="66" t="n">
        <f aca="false">DATE(YEAR(B710),MONTH(B710),1)</f>
        <v>45778</v>
      </c>
      <c r="N710" s="35" t="str">
        <f aca="false">IF(G710="","Unknown",G710)</f>
        <v>Hyderabad</v>
      </c>
      <c r="O710" s="35" t="str">
        <f aca="false">IF(E710="","Unknown",IF(E710&lt;=25,"18-25",IF(E710&lt;=35,"26-35",IF(E710&lt;=45,"36-45",IF(E710&lt;=55,"46-55","56-65")))))</f>
        <v>46-55</v>
      </c>
      <c r="P710" s="35" t="n">
        <f aca="false">COUNTIF($C$2:$C$1001,C710)</f>
        <v>1</v>
      </c>
      <c r="Q710" s="35" t="n">
        <f aca="false">IF(COUNTIF($C$2:C710,C710)=1,1,0)</f>
        <v>1</v>
      </c>
    </row>
    <row r="711" customFormat="false" ht="15" hidden="false" customHeight="false" outlineLevel="0" collapsed="false">
      <c r="A711" s="35" t="s">
        <v>2013</v>
      </c>
      <c r="B711" s="64" t="n">
        <v>45664</v>
      </c>
      <c r="C711" s="35" t="s">
        <v>2014</v>
      </c>
      <c r="D711" s="35" t="s">
        <v>2015</v>
      </c>
      <c r="E711" s="35" t="n">
        <v>20</v>
      </c>
      <c r="F711" s="35" t="s">
        <v>235</v>
      </c>
      <c r="G711" s="35" t="s">
        <v>223</v>
      </c>
      <c r="H711" s="35" t="s">
        <v>213</v>
      </c>
      <c r="I711" s="35" t="s">
        <v>204</v>
      </c>
      <c r="J711" s="35" t="n">
        <v>5</v>
      </c>
      <c r="K711" s="65" t="n">
        <v>22734.66</v>
      </c>
      <c r="L711" s="65" t="n">
        <v>113673.3</v>
      </c>
      <c r="M711" s="66" t="n">
        <f aca="false">DATE(YEAR(B711),MONTH(B711),1)</f>
        <v>45658</v>
      </c>
      <c r="N711" s="35" t="str">
        <f aca="false">IF(G711="","Unknown",G711)</f>
        <v>Gaya</v>
      </c>
      <c r="O711" s="35" t="str">
        <f aca="false">IF(E711="","Unknown",IF(E711&lt;=25,"18-25",IF(E711&lt;=35,"26-35",IF(E711&lt;=45,"36-45",IF(E711&lt;=55,"46-55","56-65")))))</f>
        <v>18-25</v>
      </c>
      <c r="P711" s="35" t="n">
        <f aca="false">COUNTIF($C$2:$C$1001,C711)</f>
        <v>1</v>
      </c>
      <c r="Q711" s="35" t="n">
        <f aca="false">IF(COUNTIF($C$2:C711,C711)=1,1,0)</f>
        <v>1</v>
      </c>
    </row>
    <row r="712" customFormat="false" ht="15" hidden="false" customHeight="false" outlineLevel="0" collapsed="false">
      <c r="A712" s="35" t="s">
        <v>2016</v>
      </c>
      <c r="B712" s="64" t="n">
        <v>45904</v>
      </c>
      <c r="C712" s="35" t="s">
        <v>2017</v>
      </c>
      <c r="D712" s="35" t="s">
        <v>944</v>
      </c>
      <c r="E712" s="35" t="n">
        <v>55</v>
      </c>
      <c r="F712" s="35" t="s">
        <v>235</v>
      </c>
      <c r="G712" s="35" t="s">
        <v>220</v>
      </c>
      <c r="H712" s="35" t="s">
        <v>208</v>
      </c>
      <c r="I712" s="35" t="s">
        <v>200</v>
      </c>
      <c r="J712" s="35" t="n">
        <v>6</v>
      </c>
      <c r="K712" s="65" t="n">
        <v>36277.76</v>
      </c>
      <c r="L712" s="65" t="n">
        <v>217666.56</v>
      </c>
      <c r="M712" s="66" t="n">
        <f aca="false">DATE(YEAR(B712),MONTH(B712),1)</f>
        <v>45901</v>
      </c>
      <c r="N712" s="35" t="str">
        <f aca="false">IF(G712="","Unknown",G712)</f>
        <v>Hyderabad</v>
      </c>
      <c r="O712" s="35" t="str">
        <f aca="false">IF(E712="","Unknown",IF(E712&lt;=25,"18-25",IF(E712&lt;=35,"26-35",IF(E712&lt;=45,"36-45",IF(E712&lt;=55,"46-55","56-65")))))</f>
        <v>46-55</v>
      </c>
      <c r="P712" s="35" t="n">
        <f aca="false">COUNTIF($C$2:$C$1001,C712)</f>
        <v>1</v>
      </c>
      <c r="Q712" s="35" t="n">
        <f aca="false">IF(COUNTIF($C$2:C712,C712)=1,1,0)</f>
        <v>1</v>
      </c>
    </row>
    <row r="713" customFormat="false" ht="15" hidden="false" customHeight="false" outlineLevel="0" collapsed="false">
      <c r="A713" s="35" t="s">
        <v>2018</v>
      </c>
      <c r="B713" s="64" t="n">
        <v>46005</v>
      </c>
      <c r="C713" s="35" t="s">
        <v>2019</v>
      </c>
      <c r="D713" s="35" t="s">
        <v>344</v>
      </c>
      <c r="E713" s="35" t="n">
        <v>45</v>
      </c>
      <c r="F713" s="35" t="s">
        <v>234</v>
      </c>
      <c r="G713" s="35" t="s">
        <v>218</v>
      </c>
      <c r="H713" s="35" t="s">
        <v>213</v>
      </c>
      <c r="I713" s="35" t="s">
        <v>204</v>
      </c>
      <c r="J713" s="35" t="n">
        <v>6</v>
      </c>
      <c r="K713" s="65" t="n">
        <v>27885.58</v>
      </c>
      <c r="L713" s="65" t="n">
        <v>167313.48</v>
      </c>
      <c r="M713" s="66" t="n">
        <f aca="false">DATE(YEAR(B713),MONTH(B713),1)</f>
        <v>45992</v>
      </c>
      <c r="N713" s="35" t="str">
        <f aca="false">IF(G713="","Unknown",G713)</f>
        <v>Bengaluru</v>
      </c>
      <c r="O713" s="35" t="str">
        <f aca="false">IF(E713="","Unknown",IF(E713&lt;=25,"18-25",IF(E713&lt;=35,"26-35",IF(E713&lt;=45,"36-45",IF(E713&lt;=55,"46-55","56-65")))))</f>
        <v>36-45</v>
      </c>
      <c r="P713" s="35" t="n">
        <f aca="false">COUNTIF($C$2:$C$1001,C713)</f>
        <v>1</v>
      </c>
      <c r="Q713" s="35" t="n">
        <f aca="false">IF(COUNTIF($C$2:C713,C713)=1,1,0)</f>
        <v>1</v>
      </c>
    </row>
    <row r="714" customFormat="false" ht="15" hidden="false" customHeight="false" outlineLevel="0" collapsed="false">
      <c r="A714" s="35" t="s">
        <v>2020</v>
      </c>
      <c r="B714" s="64" t="n">
        <v>45782</v>
      </c>
      <c r="C714" s="35" t="s">
        <v>2021</v>
      </c>
      <c r="D714" s="35" t="s">
        <v>335</v>
      </c>
      <c r="E714" s="35" t="n">
        <v>30</v>
      </c>
      <c r="F714" s="35" t="s">
        <v>234</v>
      </c>
      <c r="G714" s="35" t="s">
        <v>217</v>
      </c>
      <c r="H714" s="35" t="s">
        <v>209</v>
      </c>
      <c r="I714" s="35" t="s">
        <v>200</v>
      </c>
      <c r="J714" s="35" t="n">
        <v>10</v>
      </c>
      <c r="K714" s="65" t="n">
        <v>47079.86</v>
      </c>
      <c r="L714" s="65" t="n">
        <v>470798.6</v>
      </c>
      <c r="M714" s="66" t="n">
        <f aca="false">DATE(YEAR(B714),MONTH(B714),1)</f>
        <v>45778</v>
      </c>
      <c r="N714" s="35" t="str">
        <f aca="false">IF(G714="","Unknown",G714)</f>
        <v>Kolkata</v>
      </c>
      <c r="O714" s="35" t="str">
        <f aca="false">IF(E714="","Unknown",IF(E714&lt;=25,"18-25",IF(E714&lt;=35,"26-35",IF(E714&lt;=45,"36-45",IF(E714&lt;=55,"46-55","56-65")))))</f>
        <v>26-35</v>
      </c>
      <c r="P714" s="35" t="n">
        <f aca="false">COUNTIF($C$2:$C$1001,C714)</f>
        <v>1</v>
      </c>
      <c r="Q714" s="35" t="n">
        <f aca="false">IF(COUNTIF($C$2:C714,C714)=1,1,0)</f>
        <v>1</v>
      </c>
    </row>
    <row r="715" customFormat="false" ht="15" hidden="false" customHeight="false" outlineLevel="0" collapsed="false">
      <c r="A715" s="35" t="s">
        <v>2022</v>
      </c>
      <c r="B715" s="64" t="n">
        <v>45663</v>
      </c>
      <c r="C715" s="35" t="s">
        <v>2023</v>
      </c>
      <c r="D715" s="35" t="s">
        <v>1958</v>
      </c>
      <c r="E715" s="35" t="n">
        <v>23</v>
      </c>
      <c r="F715" s="35" t="s">
        <v>235</v>
      </c>
      <c r="G715" s="35" t="s">
        <v>217</v>
      </c>
      <c r="H715" s="35" t="s">
        <v>210</v>
      </c>
      <c r="I715" s="35" t="s">
        <v>201</v>
      </c>
      <c r="J715" s="35" t="n">
        <v>2</v>
      </c>
      <c r="K715" s="65" t="n">
        <v>30201.81</v>
      </c>
      <c r="L715" s="65" t="n">
        <v>60403.62</v>
      </c>
      <c r="M715" s="66" t="n">
        <f aca="false">DATE(YEAR(B715),MONTH(B715),1)</f>
        <v>45658</v>
      </c>
      <c r="N715" s="35" t="str">
        <f aca="false">IF(G715="","Unknown",G715)</f>
        <v>Kolkata</v>
      </c>
      <c r="O715" s="35" t="str">
        <f aca="false">IF(E715="","Unknown",IF(E715&lt;=25,"18-25",IF(E715&lt;=35,"26-35",IF(E715&lt;=45,"36-45",IF(E715&lt;=55,"46-55","56-65")))))</f>
        <v>18-25</v>
      </c>
      <c r="P715" s="35" t="n">
        <f aca="false">COUNTIF($C$2:$C$1001,C715)</f>
        <v>1</v>
      </c>
      <c r="Q715" s="35" t="n">
        <f aca="false">IF(COUNTIF($C$2:C715,C715)=1,1,0)</f>
        <v>1</v>
      </c>
    </row>
    <row r="716" customFormat="false" ht="15" hidden="false" customHeight="false" outlineLevel="0" collapsed="false">
      <c r="A716" s="35" t="s">
        <v>2024</v>
      </c>
      <c r="B716" s="64" t="n">
        <v>45696</v>
      </c>
      <c r="C716" s="35" t="s">
        <v>2025</v>
      </c>
      <c r="D716" s="35" t="s">
        <v>418</v>
      </c>
      <c r="E716" s="35" t="n">
        <v>51</v>
      </c>
      <c r="F716" s="35" t="s">
        <v>235</v>
      </c>
      <c r="G716" s="35" t="s">
        <v>216</v>
      </c>
      <c r="H716" s="35" t="s">
        <v>213</v>
      </c>
      <c r="I716" s="35" t="s">
        <v>204</v>
      </c>
      <c r="J716" s="35" t="n">
        <v>6</v>
      </c>
      <c r="K716" s="65" t="n">
        <v>32890.28</v>
      </c>
      <c r="L716" s="65" t="n">
        <v>197341.68</v>
      </c>
      <c r="M716" s="66" t="n">
        <f aca="false">DATE(YEAR(B716),MONTH(B716),1)</f>
        <v>45689</v>
      </c>
      <c r="N716" s="35" t="str">
        <f aca="false">IF(G716="","Unknown",G716)</f>
        <v>Patna</v>
      </c>
      <c r="O716" s="35" t="str">
        <f aca="false">IF(E716="","Unknown",IF(E716&lt;=25,"18-25",IF(E716&lt;=35,"26-35",IF(E716&lt;=45,"36-45",IF(E716&lt;=55,"46-55","56-65")))))</f>
        <v>46-55</v>
      </c>
      <c r="P716" s="35" t="n">
        <f aca="false">COUNTIF($C$2:$C$1001,C716)</f>
        <v>1</v>
      </c>
      <c r="Q716" s="35" t="n">
        <f aca="false">IF(COUNTIF($C$2:C716,C716)=1,1,0)</f>
        <v>1</v>
      </c>
    </row>
    <row r="717" customFormat="false" ht="15" hidden="false" customHeight="false" outlineLevel="0" collapsed="false">
      <c r="A717" s="35" t="s">
        <v>2026</v>
      </c>
      <c r="B717" s="64" t="n">
        <v>45712</v>
      </c>
      <c r="C717" s="35" t="s">
        <v>2027</v>
      </c>
      <c r="D717" s="35" t="s">
        <v>1229</v>
      </c>
      <c r="E717" s="35" t="n">
        <v>38</v>
      </c>
      <c r="F717" s="35" t="s">
        <v>235</v>
      </c>
      <c r="G717" s="35" t="s">
        <v>218</v>
      </c>
      <c r="H717" s="35" t="s">
        <v>209</v>
      </c>
      <c r="I717" s="35" t="s">
        <v>200</v>
      </c>
      <c r="J717" s="35" t="n">
        <v>1</v>
      </c>
      <c r="K717" s="65" t="n">
        <v>39342.98</v>
      </c>
      <c r="L717" s="65" t="n">
        <v>39342.98</v>
      </c>
      <c r="M717" s="66" t="n">
        <f aca="false">DATE(YEAR(B717),MONTH(B717),1)</f>
        <v>45689</v>
      </c>
      <c r="N717" s="35" t="str">
        <f aca="false">IF(G717="","Unknown",G717)</f>
        <v>Bengaluru</v>
      </c>
      <c r="O717" s="35" t="str">
        <f aca="false">IF(E717="","Unknown",IF(E717&lt;=25,"18-25",IF(E717&lt;=35,"26-35",IF(E717&lt;=45,"36-45",IF(E717&lt;=55,"46-55","56-65")))))</f>
        <v>36-45</v>
      </c>
      <c r="P717" s="35" t="n">
        <f aca="false">COUNTIF($C$2:$C$1001,C717)</f>
        <v>1</v>
      </c>
      <c r="Q717" s="35" t="n">
        <f aca="false">IF(COUNTIF($C$2:C717,C717)=1,1,0)</f>
        <v>1</v>
      </c>
    </row>
    <row r="718" customFormat="false" ht="15" hidden="false" customHeight="false" outlineLevel="0" collapsed="false">
      <c r="A718" s="35" t="s">
        <v>2028</v>
      </c>
      <c r="B718" s="64" t="n">
        <v>45715</v>
      </c>
      <c r="C718" s="35" t="s">
        <v>2029</v>
      </c>
      <c r="D718" s="35" t="s">
        <v>1829</v>
      </c>
      <c r="E718" s="35" t="n">
        <v>52</v>
      </c>
      <c r="F718" s="35" t="s">
        <v>234</v>
      </c>
      <c r="G718" s="35" t="s">
        <v>222</v>
      </c>
      <c r="H718" s="35" t="s">
        <v>213</v>
      </c>
      <c r="I718" s="35" t="s">
        <v>204</v>
      </c>
      <c r="J718" s="35" t="n">
        <v>5</v>
      </c>
      <c r="K718" s="65" t="n">
        <v>42114.22</v>
      </c>
      <c r="L718" s="65" t="n">
        <v>210571.1</v>
      </c>
      <c r="M718" s="66" t="n">
        <f aca="false">DATE(YEAR(B718),MONTH(B718),1)</f>
        <v>45689</v>
      </c>
      <c r="N718" s="35" t="str">
        <f aca="false">IF(G718="","Unknown",G718)</f>
        <v>Pune</v>
      </c>
      <c r="O718" s="35" t="str">
        <f aca="false">IF(E718="","Unknown",IF(E718&lt;=25,"18-25",IF(E718&lt;=35,"26-35",IF(E718&lt;=45,"36-45",IF(E718&lt;=55,"46-55","56-65")))))</f>
        <v>46-55</v>
      </c>
      <c r="P718" s="35" t="n">
        <f aca="false">COUNTIF($C$2:$C$1001,C718)</f>
        <v>1</v>
      </c>
      <c r="Q718" s="35" t="n">
        <f aca="false">IF(COUNTIF($C$2:C718,C718)=1,1,0)</f>
        <v>1</v>
      </c>
    </row>
    <row r="719" customFormat="false" ht="15" hidden="false" customHeight="false" outlineLevel="0" collapsed="false">
      <c r="A719" s="35" t="s">
        <v>2030</v>
      </c>
      <c r="B719" s="64" t="n">
        <v>45913</v>
      </c>
      <c r="C719" s="35" t="s">
        <v>2031</v>
      </c>
      <c r="D719" s="35" t="s">
        <v>1670</v>
      </c>
      <c r="E719" s="35" t="n">
        <v>26</v>
      </c>
      <c r="F719" s="35" t="s">
        <v>234</v>
      </c>
      <c r="G719" s="35" t="s">
        <v>222</v>
      </c>
      <c r="H719" s="35" t="s">
        <v>212</v>
      </c>
      <c r="I719" s="35" t="s">
        <v>203</v>
      </c>
      <c r="J719" s="35" t="n">
        <v>5</v>
      </c>
      <c r="K719" s="65" t="n">
        <v>15011.99</v>
      </c>
      <c r="L719" s="65" t="n">
        <v>75059.95</v>
      </c>
      <c r="M719" s="66" t="n">
        <f aca="false">DATE(YEAR(B719),MONTH(B719),1)</f>
        <v>45901</v>
      </c>
      <c r="N719" s="35" t="str">
        <f aca="false">IF(G719="","Unknown",G719)</f>
        <v>Pune</v>
      </c>
      <c r="O719" s="35" t="str">
        <f aca="false">IF(E719="","Unknown",IF(E719&lt;=25,"18-25",IF(E719&lt;=35,"26-35",IF(E719&lt;=45,"36-45",IF(E719&lt;=55,"46-55","56-65")))))</f>
        <v>26-35</v>
      </c>
      <c r="P719" s="35" t="n">
        <f aca="false">COUNTIF($C$2:$C$1001,C719)</f>
        <v>1</v>
      </c>
      <c r="Q719" s="35" t="n">
        <f aca="false">IF(COUNTIF($C$2:C719,C719)=1,1,0)</f>
        <v>1</v>
      </c>
    </row>
    <row r="720" customFormat="false" ht="15" hidden="false" customHeight="false" outlineLevel="0" collapsed="false">
      <c r="A720" s="35" t="s">
        <v>392</v>
      </c>
      <c r="B720" s="64" t="n">
        <v>45967</v>
      </c>
      <c r="C720" s="35" t="s">
        <v>1651</v>
      </c>
      <c r="D720" s="35" t="s">
        <v>311</v>
      </c>
      <c r="E720" s="35" t="n">
        <v>31</v>
      </c>
      <c r="F720" s="35" t="s">
        <v>235</v>
      </c>
      <c r="G720" s="35" t="s">
        <v>219</v>
      </c>
      <c r="H720" s="35" t="s">
        <v>211</v>
      </c>
      <c r="I720" s="35" t="s">
        <v>202</v>
      </c>
      <c r="J720" s="35" t="n">
        <v>4</v>
      </c>
      <c r="K720" s="65" t="n">
        <v>42642.59</v>
      </c>
      <c r="L720" s="65" t="n">
        <v>170570.36</v>
      </c>
      <c r="M720" s="66" t="n">
        <f aca="false">DATE(YEAR(B720),MONTH(B720),1)</f>
        <v>45962</v>
      </c>
      <c r="N720" s="35" t="str">
        <f aca="false">IF(G720="","Unknown",G720)</f>
        <v>Mumbai</v>
      </c>
      <c r="O720" s="35" t="str">
        <f aca="false">IF(E720="","Unknown",IF(E720&lt;=25,"18-25",IF(E720&lt;=35,"26-35",IF(E720&lt;=45,"36-45",IF(E720&lt;=55,"46-55","56-65")))))</f>
        <v>26-35</v>
      </c>
      <c r="P720" s="35" t="n">
        <f aca="false">COUNTIF($C$2:$C$1001,C720)</f>
        <v>2</v>
      </c>
      <c r="Q720" s="35" t="n">
        <f aca="false">IF(COUNTIF($C$2:C720,C720)=1,1,0)</f>
        <v>0</v>
      </c>
    </row>
    <row r="721" customFormat="false" ht="15" hidden="false" customHeight="false" outlineLevel="0" collapsed="false">
      <c r="A721" s="35" t="s">
        <v>2032</v>
      </c>
      <c r="B721" s="64" t="n">
        <v>45914</v>
      </c>
      <c r="C721" s="35" t="s">
        <v>2033</v>
      </c>
      <c r="D721" s="35" t="s">
        <v>468</v>
      </c>
      <c r="E721" s="35" t="n">
        <v>37</v>
      </c>
      <c r="F721" s="35" t="s">
        <v>234</v>
      </c>
      <c r="G721" s="35" t="s">
        <v>216</v>
      </c>
      <c r="H721" s="35" t="s">
        <v>211</v>
      </c>
      <c r="I721" s="35" t="s">
        <v>202</v>
      </c>
      <c r="J721" s="35" t="n">
        <v>6</v>
      </c>
      <c r="K721" s="65" t="n">
        <v>27168.79</v>
      </c>
      <c r="L721" s="65" t="n">
        <v>163012.74</v>
      </c>
      <c r="M721" s="66" t="n">
        <f aca="false">DATE(YEAR(B721),MONTH(B721),1)</f>
        <v>45901</v>
      </c>
      <c r="N721" s="35" t="str">
        <f aca="false">IF(G721="","Unknown",G721)</f>
        <v>Patna</v>
      </c>
      <c r="O721" s="35" t="str">
        <f aca="false">IF(E721="","Unknown",IF(E721&lt;=25,"18-25",IF(E721&lt;=35,"26-35",IF(E721&lt;=45,"36-45",IF(E721&lt;=55,"46-55","56-65")))))</f>
        <v>36-45</v>
      </c>
      <c r="P721" s="35" t="n">
        <f aca="false">COUNTIF($C$2:$C$1001,C721)</f>
        <v>1</v>
      </c>
      <c r="Q721" s="35" t="n">
        <f aca="false">IF(COUNTIF($C$2:C721,C721)=1,1,0)</f>
        <v>1</v>
      </c>
    </row>
    <row r="722" customFormat="false" ht="15" hidden="false" customHeight="false" outlineLevel="0" collapsed="false">
      <c r="A722" s="35" t="s">
        <v>2034</v>
      </c>
      <c r="B722" s="64" t="n">
        <v>45882</v>
      </c>
      <c r="C722" s="35" t="s">
        <v>2035</v>
      </c>
      <c r="D722" s="35" t="s">
        <v>1465</v>
      </c>
      <c r="E722" s="35" t="n">
        <v>28</v>
      </c>
      <c r="F722" s="35" t="s">
        <v>234</v>
      </c>
      <c r="G722" s="35" t="s">
        <v>221</v>
      </c>
      <c r="H722" s="35" t="s">
        <v>211</v>
      </c>
      <c r="I722" s="35" t="s">
        <v>202</v>
      </c>
      <c r="J722" s="35" t="n">
        <v>7</v>
      </c>
      <c r="K722" s="65" t="n">
        <v>31567.62</v>
      </c>
      <c r="L722" s="65" t="n">
        <v>220973.34</v>
      </c>
      <c r="M722" s="66" t="n">
        <f aca="false">DATE(YEAR(B722),MONTH(B722),1)</f>
        <v>45870</v>
      </c>
      <c r="N722" s="35" t="str">
        <f aca="false">IF(G722="","Unknown",G722)</f>
        <v>Delhi</v>
      </c>
      <c r="O722" s="35" t="str">
        <f aca="false">IF(E722="","Unknown",IF(E722&lt;=25,"18-25",IF(E722&lt;=35,"26-35",IF(E722&lt;=45,"36-45",IF(E722&lt;=55,"46-55","56-65")))))</f>
        <v>26-35</v>
      </c>
      <c r="P722" s="35" t="n">
        <f aca="false">COUNTIF($C$2:$C$1001,C722)</f>
        <v>1</v>
      </c>
      <c r="Q722" s="35" t="n">
        <f aca="false">IF(COUNTIF($C$2:C722,C722)=1,1,0)</f>
        <v>1</v>
      </c>
    </row>
    <row r="723" customFormat="false" ht="15" hidden="false" customHeight="false" outlineLevel="0" collapsed="false">
      <c r="A723" s="35" t="s">
        <v>2036</v>
      </c>
      <c r="B723" s="64" t="n">
        <v>45989</v>
      </c>
      <c r="C723" s="35" t="s">
        <v>2037</v>
      </c>
      <c r="D723" s="35" t="s">
        <v>621</v>
      </c>
      <c r="E723" s="35" t="n">
        <v>58</v>
      </c>
      <c r="F723" s="35" t="s">
        <v>235</v>
      </c>
      <c r="G723" s="35" t="s">
        <v>221</v>
      </c>
      <c r="H723" s="35" t="s">
        <v>208</v>
      </c>
      <c r="I723" s="35" t="s">
        <v>200</v>
      </c>
      <c r="J723" s="35" t="n">
        <v>10</v>
      </c>
      <c r="K723" s="65" t="n">
        <v>44401.64</v>
      </c>
      <c r="L723" s="65" t="n">
        <v>444016.4</v>
      </c>
      <c r="M723" s="66" t="n">
        <f aca="false">DATE(YEAR(B723),MONTH(B723),1)</f>
        <v>45962</v>
      </c>
      <c r="N723" s="35" t="str">
        <f aca="false">IF(G723="","Unknown",G723)</f>
        <v>Delhi</v>
      </c>
      <c r="O723" s="35" t="str">
        <f aca="false">IF(E723="","Unknown",IF(E723&lt;=25,"18-25",IF(E723&lt;=35,"26-35",IF(E723&lt;=45,"36-45",IF(E723&lt;=55,"46-55","56-65")))))</f>
        <v>56-65</v>
      </c>
      <c r="P723" s="35" t="n">
        <f aca="false">COUNTIF($C$2:$C$1001,C723)</f>
        <v>1</v>
      </c>
      <c r="Q723" s="35" t="n">
        <f aca="false">IF(COUNTIF($C$2:C723,C723)=1,1,0)</f>
        <v>1</v>
      </c>
    </row>
    <row r="724" customFormat="false" ht="15" hidden="false" customHeight="false" outlineLevel="0" collapsed="false">
      <c r="A724" s="35" t="s">
        <v>2038</v>
      </c>
      <c r="B724" s="64" t="n">
        <v>45685</v>
      </c>
      <c r="C724" s="35" t="s">
        <v>2039</v>
      </c>
      <c r="D724" s="35" t="s">
        <v>1779</v>
      </c>
      <c r="E724" s="35" t="n">
        <v>47</v>
      </c>
      <c r="F724" s="35" t="s">
        <v>234</v>
      </c>
      <c r="G724" s="35" t="s">
        <v>221</v>
      </c>
      <c r="H724" s="35" t="s">
        <v>211</v>
      </c>
      <c r="I724" s="35" t="s">
        <v>202</v>
      </c>
      <c r="J724" s="35" t="n">
        <v>2</v>
      </c>
      <c r="K724" s="65" t="n">
        <v>5467.01</v>
      </c>
      <c r="L724" s="65" t="n">
        <v>10934.02</v>
      </c>
      <c r="M724" s="66" t="n">
        <f aca="false">DATE(YEAR(B724),MONTH(B724),1)</f>
        <v>45658</v>
      </c>
      <c r="N724" s="35" t="str">
        <f aca="false">IF(G724="","Unknown",G724)</f>
        <v>Delhi</v>
      </c>
      <c r="O724" s="35" t="str">
        <f aca="false">IF(E724="","Unknown",IF(E724&lt;=25,"18-25",IF(E724&lt;=35,"26-35",IF(E724&lt;=45,"36-45",IF(E724&lt;=55,"46-55","56-65")))))</f>
        <v>46-55</v>
      </c>
      <c r="P724" s="35" t="n">
        <f aca="false">COUNTIF($C$2:$C$1001,C724)</f>
        <v>1</v>
      </c>
      <c r="Q724" s="35" t="n">
        <f aca="false">IF(COUNTIF($C$2:C724,C724)=1,1,0)</f>
        <v>1</v>
      </c>
    </row>
    <row r="725" customFormat="false" ht="15" hidden="false" customHeight="false" outlineLevel="0" collapsed="false">
      <c r="A725" s="35" t="s">
        <v>2040</v>
      </c>
      <c r="B725" s="64" t="n">
        <v>45940</v>
      </c>
      <c r="C725" s="35" t="s">
        <v>2041</v>
      </c>
      <c r="D725" s="35" t="s">
        <v>669</v>
      </c>
      <c r="E725" s="35" t="n">
        <v>37</v>
      </c>
      <c r="F725" s="35" t="s">
        <v>235</v>
      </c>
      <c r="G725" s="35" t="s">
        <v>217</v>
      </c>
      <c r="H725" s="35" t="s">
        <v>208</v>
      </c>
      <c r="I725" s="35" t="s">
        <v>200</v>
      </c>
      <c r="J725" s="35" t="n">
        <v>7</v>
      </c>
      <c r="K725" s="65" t="n">
        <v>40635.52</v>
      </c>
      <c r="L725" s="65" t="n">
        <v>284448.64</v>
      </c>
      <c r="M725" s="66" t="n">
        <f aca="false">DATE(YEAR(B725),MONTH(B725),1)</f>
        <v>45931</v>
      </c>
      <c r="N725" s="35" t="str">
        <f aca="false">IF(G725="","Unknown",G725)</f>
        <v>Kolkata</v>
      </c>
      <c r="O725" s="35" t="str">
        <f aca="false">IF(E725="","Unknown",IF(E725&lt;=25,"18-25",IF(E725&lt;=35,"26-35",IF(E725&lt;=45,"36-45",IF(E725&lt;=55,"46-55","56-65")))))</f>
        <v>36-45</v>
      </c>
      <c r="P725" s="35" t="n">
        <f aca="false">COUNTIF($C$2:$C$1001,C725)</f>
        <v>1</v>
      </c>
      <c r="Q725" s="35" t="n">
        <f aca="false">IF(COUNTIF($C$2:C725,C725)=1,1,0)</f>
        <v>1</v>
      </c>
    </row>
    <row r="726" customFormat="false" ht="15" hidden="false" customHeight="false" outlineLevel="0" collapsed="false">
      <c r="A726" s="35" t="s">
        <v>2042</v>
      </c>
      <c r="B726" s="64" t="n">
        <v>45844</v>
      </c>
      <c r="C726" s="35" t="s">
        <v>2043</v>
      </c>
      <c r="D726" s="35" t="s">
        <v>1465</v>
      </c>
      <c r="E726" s="35" t="n">
        <v>38</v>
      </c>
      <c r="F726" s="35" t="s">
        <v>234</v>
      </c>
      <c r="G726" s="35" t="s">
        <v>222</v>
      </c>
      <c r="H726" s="35" t="s">
        <v>213</v>
      </c>
      <c r="I726" s="35" t="s">
        <v>204</v>
      </c>
      <c r="J726" s="35" t="n">
        <v>7</v>
      </c>
      <c r="K726" s="65" t="n">
        <v>26916.23</v>
      </c>
      <c r="L726" s="65" t="n">
        <v>188413.61</v>
      </c>
      <c r="M726" s="66" t="n">
        <f aca="false">DATE(YEAR(B726),MONTH(B726),1)</f>
        <v>45839</v>
      </c>
      <c r="N726" s="35" t="str">
        <f aca="false">IF(G726="","Unknown",G726)</f>
        <v>Pune</v>
      </c>
      <c r="O726" s="35" t="str">
        <f aca="false">IF(E726="","Unknown",IF(E726&lt;=25,"18-25",IF(E726&lt;=35,"26-35",IF(E726&lt;=45,"36-45",IF(E726&lt;=55,"46-55","56-65")))))</f>
        <v>36-45</v>
      </c>
      <c r="P726" s="35" t="n">
        <f aca="false">COUNTIF($C$2:$C$1001,C726)</f>
        <v>1</v>
      </c>
      <c r="Q726" s="35" t="n">
        <f aca="false">IF(COUNTIF($C$2:C726,C726)=1,1,0)</f>
        <v>1</v>
      </c>
    </row>
    <row r="727" customFormat="false" ht="15" hidden="false" customHeight="false" outlineLevel="0" collapsed="false">
      <c r="A727" s="35" t="s">
        <v>2044</v>
      </c>
      <c r="B727" s="64" t="n">
        <v>45929</v>
      </c>
      <c r="C727" s="35" t="s">
        <v>2045</v>
      </c>
      <c r="D727" s="35" t="s">
        <v>765</v>
      </c>
      <c r="E727" s="35" t="n">
        <v>27</v>
      </c>
      <c r="F727" s="35" t="s">
        <v>235</v>
      </c>
      <c r="G727" s="35" t="s">
        <v>217</v>
      </c>
      <c r="H727" s="35" t="s">
        <v>212</v>
      </c>
      <c r="I727" s="35" t="s">
        <v>203</v>
      </c>
      <c r="J727" s="35" t="n">
        <v>5</v>
      </c>
      <c r="K727" s="65" t="n">
        <v>24409.5</v>
      </c>
      <c r="L727" s="65" t="n">
        <v>122047.5</v>
      </c>
      <c r="M727" s="66" t="n">
        <f aca="false">DATE(YEAR(B727),MONTH(B727),1)</f>
        <v>45901</v>
      </c>
      <c r="N727" s="35" t="str">
        <f aca="false">IF(G727="","Unknown",G727)</f>
        <v>Kolkata</v>
      </c>
      <c r="O727" s="35" t="str">
        <f aca="false">IF(E727="","Unknown",IF(E727&lt;=25,"18-25",IF(E727&lt;=35,"26-35",IF(E727&lt;=45,"36-45",IF(E727&lt;=55,"46-55","56-65")))))</f>
        <v>26-35</v>
      </c>
      <c r="P727" s="35" t="n">
        <f aca="false">COUNTIF($C$2:$C$1001,C727)</f>
        <v>1</v>
      </c>
      <c r="Q727" s="35" t="n">
        <f aca="false">IF(COUNTIF($C$2:C727,C727)=1,1,0)</f>
        <v>1</v>
      </c>
    </row>
    <row r="728" customFormat="false" ht="15" hidden="false" customHeight="false" outlineLevel="0" collapsed="false">
      <c r="A728" s="35" t="s">
        <v>2046</v>
      </c>
      <c r="B728" s="64" t="n">
        <v>45941</v>
      </c>
      <c r="C728" s="35" t="s">
        <v>2047</v>
      </c>
      <c r="D728" s="35" t="s">
        <v>686</v>
      </c>
      <c r="E728" s="35" t="n">
        <v>37</v>
      </c>
      <c r="F728" s="35" t="s">
        <v>234</v>
      </c>
      <c r="G728" s="35" t="s">
        <v>216</v>
      </c>
      <c r="H728" s="35" t="s">
        <v>212</v>
      </c>
      <c r="I728" s="35" t="s">
        <v>203</v>
      </c>
      <c r="J728" s="35" t="n">
        <v>10</v>
      </c>
      <c r="K728" s="65" t="n">
        <v>19600.31</v>
      </c>
      <c r="L728" s="65" t="n">
        <v>196003.1</v>
      </c>
      <c r="M728" s="66" t="n">
        <f aca="false">DATE(YEAR(B728),MONTH(B728),1)</f>
        <v>45931</v>
      </c>
      <c r="N728" s="35" t="str">
        <f aca="false">IF(G728="","Unknown",G728)</f>
        <v>Patna</v>
      </c>
      <c r="O728" s="35" t="str">
        <f aca="false">IF(E728="","Unknown",IF(E728&lt;=25,"18-25",IF(E728&lt;=35,"26-35",IF(E728&lt;=45,"36-45",IF(E728&lt;=55,"46-55","56-65")))))</f>
        <v>36-45</v>
      </c>
      <c r="P728" s="35" t="n">
        <f aca="false">COUNTIF($C$2:$C$1001,C728)</f>
        <v>1</v>
      </c>
      <c r="Q728" s="35" t="n">
        <f aca="false">IF(COUNTIF($C$2:C728,C728)=1,1,0)</f>
        <v>1</v>
      </c>
    </row>
    <row r="729" customFormat="false" ht="15" hidden="false" customHeight="false" outlineLevel="0" collapsed="false">
      <c r="A729" s="35" t="s">
        <v>2048</v>
      </c>
      <c r="B729" s="64" t="n">
        <v>45868</v>
      </c>
      <c r="C729" s="35" t="s">
        <v>2049</v>
      </c>
      <c r="D729" s="35" t="s">
        <v>462</v>
      </c>
      <c r="E729" s="35" t="n">
        <v>58</v>
      </c>
      <c r="F729" s="35" t="s">
        <v>235</v>
      </c>
      <c r="G729" s="35" t="s">
        <v>217</v>
      </c>
      <c r="H729" s="35" t="s">
        <v>210</v>
      </c>
      <c r="I729" s="35" t="s">
        <v>201</v>
      </c>
      <c r="J729" s="35" t="n">
        <v>3</v>
      </c>
      <c r="K729" s="65" t="n">
        <v>40119.65</v>
      </c>
      <c r="L729" s="65" t="n">
        <v>120358.95</v>
      </c>
      <c r="M729" s="66" t="n">
        <f aca="false">DATE(YEAR(B729),MONTH(B729),1)</f>
        <v>45839</v>
      </c>
      <c r="N729" s="35" t="str">
        <f aca="false">IF(G729="","Unknown",G729)</f>
        <v>Kolkata</v>
      </c>
      <c r="O729" s="35" t="str">
        <f aca="false">IF(E729="","Unknown",IF(E729&lt;=25,"18-25",IF(E729&lt;=35,"26-35",IF(E729&lt;=45,"36-45",IF(E729&lt;=55,"46-55","56-65")))))</f>
        <v>56-65</v>
      </c>
      <c r="P729" s="35" t="n">
        <f aca="false">COUNTIF($C$2:$C$1001,C729)</f>
        <v>1</v>
      </c>
      <c r="Q729" s="35" t="n">
        <f aca="false">IF(COUNTIF($C$2:C729,C729)=1,1,0)</f>
        <v>1</v>
      </c>
    </row>
    <row r="730" customFormat="false" ht="15" hidden="false" customHeight="false" outlineLevel="0" collapsed="false">
      <c r="A730" s="35" t="s">
        <v>2050</v>
      </c>
      <c r="B730" s="64" t="n">
        <v>45662</v>
      </c>
      <c r="C730" s="35" t="s">
        <v>2051</v>
      </c>
      <c r="D730" s="35" t="s">
        <v>633</v>
      </c>
      <c r="E730" s="35" t="n">
        <v>44</v>
      </c>
      <c r="F730" s="35" t="s">
        <v>235</v>
      </c>
      <c r="G730" s="35" t="s">
        <v>217</v>
      </c>
      <c r="H730" s="35" t="s">
        <v>212</v>
      </c>
      <c r="I730" s="35" t="s">
        <v>203</v>
      </c>
      <c r="J730" s="35" t="n">
        <v>5</v>
      </c>
      <c r="K730" s="65" t="n">
        <v>33187.56</v>
      </c>
      <c r="L730" s="65" t="n">
        <v>165937.8</v>
      </c>
      <c r="M730" s="66" t="n">
        <f aca="false">DATE(YEAR(B730),MONTH(B730),1)</f>
        <v>45658</v>
      </c>
      <c r="N730" s="35" t="str">
        <f aca="false">IF(G730="","Unknown",G730)</f>
        <v>Kolkata</v>
      </c>
      <c r="O730" s="35" t="str">
        <f aca="false">IF(E730="","Unknown",IF(E730&lt;=25,"18-25",IF(E730&lt;=35,"26-35",IF(E730&lt;=45,"36-45",IF(E730&lt;=55,"46-55","56-65")))))</f>
        <v>36-45</v>
      </c>
      <c r="P730" s="35" t="n">
        <f aca="false">COUNTIF($C$2:$C$1001,C730)</f>
        <v>1</v>
      </c>
      <c r="Q730" s="35" t="n">
        <f aca="false">IF(COUNTIF($C$2:C730,C730)=1,1,0)</f>
        <v>1</v>
      </c>
    </row>
    <row r="731" customFormat="false" ht="15" hidden="false" customHeight="false" outlineLevel="0" collapsed="false">
      <c r="A731" s="35" t="s">
        <v>2052</v>
      </c>
      <c r="B731" s="64" t="n">
        <v>45838</v>
      </c>
      <c r="C731" s="35" t="s">
        <v>2053</v>
      </c>
      <c r="D731" s="35" t="s">
        <v>1049</v>
      </c>
      <c r="E731" s="35" t="n">
        <v>22</v>
      </c>
      <c r="F731" s="35" t="s">
        <v>235</v>
      </c>
      <c r="G731" s="35" t="s">
        <v>223</v>
      </c>
      <c r="H731" s="35" t="s">
        <v>210</v>
      </c>
      <c r="I731" s="35" t="s">
        <v>201</v>
      </c>
      <c r="J731" s="35" t="n">
        <v>3</v>
      </c>
      <c r="K731" s="65" t="n">
        <v>26807.04</v>
      </c>
      <c r="L731" s="65" t="n">
        <v>80421.12</v>
      </c>
      <c r="M731" s="66" t="n">
        <f aca="false">DATE(YEAR(B731),MONTH(B731),1)</f>
        <v>45809</v>
      </c>
      <c r="N731" s="35" t="str">
        <f aca="false">IF(G731="","Unknown",G731)</f>
        <v>Gaya</v>
      </c>
      <c r="O731" s="35" t="str">
        <f aca="false">IF(E731="","Unknown",IF(E731&lt;=25,"18-25",IF(E731&lt;=35,"26-35",IF(E731&lt;=45,"36-45",IF(E731&lt;=55,"46-55","56-65")))))</f>
        <v>18-25</v>
      </c>
      <c r="P731" s="35" t="n">
        <f aca="false">COUNTIF($C$2:$C$1001,C731)</f>
        <v>1</v>
      </c>
      <c r="Q731" s="35" t="n">
        <f aca="false">IF(COUNTIF($C$2:C731,C731)=1,1,0)</f>
        <v>1</v>
      </c>
    </row>
    <row r="732" customFormat="false" ht="15" hidden="false" customHeight="false" outlineLevel="0" collapsed="false">
      <c r="A732" s="35" t="s">
        <v>2054</v>
      </c>
      <c r="B732" s="64" t="n">
        <v>45666</v>
      </c>
      <c r="C732" s="35" t="s">
        <v>2055</v>
      </c>
      <c r="D732" s="35" t="s">
        <v>1327</v>
      </c>
      <c r="E732" s="35" t="n">
        <v>64</v>
      </c>
      <c r="F732" s="35" t="s">
        <v>235</v>
      </c>
      <c r="G732" s="35" t="s">
        <v>220</v>
      </c>
      <c r="H732" s="35" t="s">
        <v>213</v>
      </c>
      <c r="I732" s="35" t="s">
        <v>204</v>
      </c>
      <c r="J732" s="35" t="n">
        <v>1</v>
      </c>
      <c r="K732" s="65" t="n">
        <v>19202.88</v>
      </c>
      <c r="L732" s="65" t="n">
        <v>19202.88</v>
      </c>
      <c r="M732" s="66" t="n">
        <f aca="false">DATE(YEAR(B732),MONTH(B732),1)</f>
        <v>45658</v>
      </c>
      <c r="N732" s="35" t="str">
        <f aca="false">IF(G732="","Unknown",G732)</f>
        <v>Hyderabad</v>
      </c>
      <c r="O732" s="35" t="str">
        <f aca="false">IF(E732="","Unknown",IF(E732&lt;=25,"18-25",IF(E732&lt;=35,"26-35",IF(E732&lt;=45,"36-45",IF(E732&lt;=55,"46-55","56-65")))))</f>
        <v>56-65</v>
      </c>
      <c r="P732" s="35" t="n">
        <f aca="false">COUNTIF($C$2:$C$1001,C732)</f>
        <v>1</v>
      </c>
      <c r="Q732" s="35" t="n">
        <f aca="false">IF(COUNTIF($C$2:C732,C732)=1,1,0)</f>
        <v>1</v>
      </c>
    </row>
    <row r="733" customFormat="false" ht="15" hidden="false" customHeight="false" outlineLevel="0" collapsed="false">
      <c r="A733" s="35" t="s">
        <v>2056</v>
      </c>
      <c r="B733" s="64" t="n">
        <v>45701</v>
      </c>
      <c r="C733" s="35" t="s">
        <v>2057</v>
      </c>
      <c r="D733" s="35" t="s">
        <v>924</v>
      </c>
      <c r="E733" s="35" t="n">
        <v>22</v>
      </c>
      <c r="F733" s="35" t="s">
        <v>234</v>
      </c>
      <c r="G733" s="35" t="s">
        <v>222</v>
      </c>
      <c r="H733" s="35" t="s">
        <v>212</v>
      </c>
      <c r="I733" s="35" t="s">
        <v>203</v>
      </c>
      <c r="J733" s="35" t="n">
        <v>6</v>
      </c>
      <c r="K733" s="65" t="n">
        <v>27085.46</v>
      </c>
      <c r="L733" s="65" t="n">
        <v>162512.76</v>
      </c>
      <c r="M733" s="66" t="n">
        <f aca="false">DATE(YEAR(B733),MONTH(B733),1)</f>
        <v>45689</v>
      </c>
      <c r="N733" s="35" t="str">
        <f aca="false">IF(G733="","Unknown",G733)</f>
        <v>Pune</v>
      </c>
      <c r="O733" s="35" t="str">
        <f aca="false">IF(E733="","Unknown",IF(E733&lt;=25,"18-25",IF(E733&lt;=35,"26-35",IF(E733&lt;=45,"36-45",IF(E733&lt;=55,"46-55","56-65")))))</f>
        <v>18-25</v>
      </c>
      <c r="P733" s="35" t="n">
        <f aca="false">COUNTIF($C$2:$C$1001,C733)</f>
        <v>1</v>
      </c>
      <c r="Q733" s="35" t="n">
        <f aca="false">IF(COUNTIF($C$2:C733,C733)=1,1,0)</f>
        <v>1</v>
      </c>
    </row>
    <row r="734" customFormat="false" ht="15" hidden="false" customHeight="false" outlineLevel="0" collapsed="false">
      <c r="A734" s="35" t="s">
        <v>2058</v>
      </c>
      <c r="B734" s="64" t="n">
        <v>45723</v>
      </c>
      <c r="C734" s="35" t="s">
        <v>2059</v>
      </c>
      <c r="D734" s="35" t="s">
        <v>1979</v>
      </c>
      <c r="E734" s="35" t="n">
        <v>28</v>
      </c>
      <c r="F734" s="35" t="s">
        <v>235</v>
      </c>
      <c r="G734" s="35" t="s">
        <v>223</v>
      </c>
      <c r="H734" s="35" t="s">
        <v>212</v>
      </c>
      <c r="I734" s="35" t="s">
        <v>203</v>
      </c>
      <c r="J734" s="35" t="n">
        <v>3</v>
      </c>
      <c r="K734" s="65" t="n">
        <v>24462.54</v>
      </c>
      <c r="L734" s="65" t="n">
        <v>73387.62</v>
      </c>
      <c r="M734" s="66" t="n">
        <f aca="false">DATE(YEAR(B734),MONTH(B734),1)</f>
        <v>45717</v>
      </c>
      <c r="N734" s="35" t="str">
        <f aca="false">IF(G734="","Unknown",G734)</f>
        <v>Gaya</v>
      </c>
      <c r="O734" s="35" t="str">
        <f aca="false">IF(E734="","Unknown",IF(E734&lt;=25,"18-25",IF(E734&lt;=35,"26-35",IF(E734&lt;=45,"36-45",IF(E734&lt;=55,"46-55","56-65")))))</f>
        <v>26-35</v>
      </c>
      <c r="P734" s="35" t="n">
        <f aca="false">COUNTIF($C$2:$C$1001,C734)</f>
        <v>1</v>
      </c>
      <c r="Q734" s="35" t="n">
        <f aca="false">IF(COUNTIF($C$2:C734,C734)=1,1,0)</f>
        <v>1</v>
      </c>
    </row>
    <row r="735" customFormat="false" ht="15" hidden="false" customHeight="false" outlineLevel="0" collapsed="false">
      <c r="A735" s="35" t="s">
        <v>2060</v>
      </c>
      <c r="B735" s="64" t="n">
        <v>45684</v>
      </c>
      <c r="C735" s="35" t="s">
        <v>2061</v>
      </c>
      <c r="D735" s="35" t="s">
        <v>471</v>
      </c>
      <c r="E735" s="35" t="n">
        <v>28</v>
      </c>
      <c r="F735" s="35" t="s">
        <v>234</v>
      </c>
      <c r="G735" s="35" t="s">
        <v>218</v>
      </c>
      <c r="H735" s="35" t="s">
        <v>211</v>
      </c>
      <c r="I735" s="35" t="s">
        <v>202</v>
      </c>
      <c r="J735" s="35" t="n">
        <v>6</v>
      </c>
      <c r="K735" s="65" t="n">
        <v>25359.39</v>
      </c>
      <c r="L735" s="65" t="n">
        <v>152156.34</v>
      </c>
      <c r="M735" s="66" t="n">
        <f aca="false">DATE(YEAR(B735),MONTH(B735),1)</f>
        <v>45658</v>
      </c>
      <c r="N735" s="35" t="str">
        <f aca="false">IF(G735="","Unknown",G735)</f>
        <v>Bengaluru</v>
      </c>
      <c r="O735" s="35" t="str">
        <f aca="false">IF(E735="","Unknown",IF(E735&lt;=25,"18-25",IF(E735&lt;=35,"26-35",IF(E735&lt;=45,"36-45",IF(E735&lt;=55,"46-55","56-65")))))</f>
        <v>26-35</v>
      </c>
      <c r="P735" s="35" t="n">
        <f aca="false">COUNTIF($C$2:$C$1001,C735)</f>
        <v>2</v>
      </c>
      <c r="Q735" s="35" t="n">
        <f aca="false">IF(COUNTIF($C$2:C735,C735)=1,1,0)</f>
        <v>1</v>
      </c>
    </row>
    <row r="736" customFormat="false" ht="15" hidden="false" customHeight="false" outlineLevel="0" collapsed="false">
      <c r="A736" s="35" t="s">
        <v>2062</v>
      </c>
      <c r="B736" s="64" t="n">
        <v>45923</v>
      </c>
      <c r="C736" s="35" t="s">
        <v>2063</v>
      </c>
      <c r="D736" s="35" t="s">
        <v>1117</v>
      </c>
      <c r="E736" s="35" t="n">
        <v>32</v>
      </c>
      <c r="F736" s="35" t="s">
        <v>235</v>
      </c>
      <c r="G736" s="35" t="s">
        <v>223</v>
      </c>
      <c r="H736" s="35" t="s">
        <v>209</v>
      </c>
      <c r="I736" s="35" t="s">
        <v>200</v>
      </c>
      <c r="J736" s="35" t="n">
        <v>6</v>
      </c>
      <c r="K736" s="65" t="n">
        <v>19210.66</v>
      </c>
      <c r="L736" s="65" t="n">
        <v>115263.96</v>
      </c>
      <c r="M736" s="66" t="n">
        <f aca="false">DATE(YEAR(B736),MONTH(B736),1)</f>
        <v>45901</v>
      </c>
      <c r="N736" s="35" t="str">
        <f aca="false">IF(G736="","Unknown",G736)</f>
        <v>Gaya</v>
      </c>
      <c r="O736" s="35" t="str">
        <f aca="false">IF(E736="","Unknown",IF(E736&lt;=25,"18-25",IF(E736&lt;=35,"26-35",IF(E736&lt;=45,"36-45",IF(E736&lt;=55,"46-55","56-65")))))</f>
        <v>26-35</v>
      </c>
      <c r="P736" s="35" t="n">
        <f aca="false">COUNTIF($C$2:$C$1001,C736)</f>
        <v>1</v>
      </c>
      <c r="Q736" s="35" t="n">
        <f aca="false">IF(COUNTIF($C$2:C736,C736)=1,1,0)</f>
        <v>1</v>
      </c>
    </row>
    <row r="737" customFormat="false" ht="15" hidden="false" customHeight="false" outlineLevel="0" collapsed="false">
      <c r="A737" s="35" t="s">
        <v>2064</v>
      </c>
      <c r="B737" s="64" t="n">
        <v>45715</v>
      </c>
      <c r="C737" s="35" t="s">
        <v>2065</v>
      </c>
      <c r="D737" s="35" t="s">
        <v>1371</v>
      </c>
      <c r="E737" s="35" t="n">
        <v>53</v>
      </c>
      <c r="F737" s="35" t="s">
        <v>235</v>
      </c>
      <c r="G737" s="35" t="s">
        <v>217</v>
      </c>
      <c r="H737" s="35" t="s">
        <v>211</v>
      </c>
      <c r="I737" s="35" t="s">
        <v>202</v>
      </c>
      <c r="J737" s="35" t="n">
        <v>5</v>
      </c>
      <c r="K737" s="65" t="n">
        <v>414.13</v>
      </c>
      <c r="L737" s="65" t="n">
        <v>2070.65</v>
      </c>
      <c r="M737" s="66" t="n">
        <f aca="false">DATE(YEAR(B737),MONTH(B737),1)</f>
        <v>45689</v>
      </c>
      <c r="N737" s="35" t="str">
        <f aca="false">IF(G737="","Unknown",G737)</f>
        <v>Kolkata</v>
      </c>
      <c r="O737" s="35" t="str">
        <f aca="false">IF(E737="","Unknown",IF(E737&lt;=25,"18-25",IF(E737&lt;=35,"26-35",IF(E737&lt;=45,"36-45",IF(E737&lt;=55,"46-55","56-65")))))</f>
        <v>46-55</v>
      </c>
      <c r="P737" s="35" t="n">
        <f aca="false">COUNTIF($C$2:$C$1001,C737)</f>
        <v>1</v>
      </c>
      <c r="Q737" s="35" t="n">
        <f aca="false">IF(COUNTIF($C$2:C737,C737)=1,1,0)</f>
        <v>1</v>
      </c>
    </row>
    <row r="738" customFormat="false" ht="15" hidden="false" customHeight="false" outlineLevel="0" collapsed="false">
      <c r="A738" s="35" t="s">
        <v>2066</v>
      </c>
      <c r="B738" s="64" t="n">
        <v>46020</v>
      </c>
      <c r="C738" s="35" t="s">
        <v>2067</v>
      </c>
      <c r="D738" s="35" t="s">
        <v>554</v>
      </c>
      <c r="E738" s="35" t="n">
        <v>24</v>
      </c>
      <c r="F738" s="35" t="s">
        <v>234</v>
      </c>
      <c r="G738" s="35" t="s">
        <v>217</v>
      </c>
      <c r="H738" s="35" t="s">
        <v>208</v>
      </c>
      <c r="I738" s="35" t="s">
        <v>200</v>
      </c>
      <c r="J738" s="35" t="n">
        <v>6</v>
      </c>
      <c r="K738" s="65" t="n">
        <v>9761.46</v>
      </c>
      <c r="L738" s="65" t="n">
        <v>58568.76</v>
      </c>
      <c r="M738" s="66" t="n">
        <f aca="false">DATE(YEAR(B738),MONTH(B738),1)</f>
        <v>45992</v>
      </c>
      <c r="N738" s="35" t="str">
        <f aca="false">IF(G738="","Unknown",G738)</f>
        <v>Kolkata</v>
      </c>
      <c r="O738" s="35" t="str">
        <f aca="false">IF(E738="","Unknown",IF(E738&lt;=25,"18-25",IF(E738&lt;=35,"26-35",IF(E738&lt;=45,"36-45",IF(E738&lt;=55,"46-55","56-65")))))</f>
        <v>18-25</v>
      </c>
      <c r="P738" s="35" t="n">
        <f aca="false">COUNTIF($C$2:$C$1001,C738)</f>
        <v>1</v>
      </c>
      <c r="Q738" s="35" t="n">
        <f aca="false">IF(COUNTIF($C$2:C738,C738)=1,1,0)</f>
        <v>1</v>
      </c>
    </row>
    <row r="739" customFormat="false" ht="15" hidden="false" customHeight="false" outlineLevel="0" collapsed="false">
      <c r="A739" s="35" t="s">
        <v>2068</v>
      </c>
      <c r="B739" s="64" t="n">
        <v>46008</v>
      </c>
      <c r="C739" s="35" t="s">
        <v>2069</v>
      </c>
      <c r="D739" s="35" t="s">
        <v>1126</v>
      </c>
      <c r="E739" s="35" t="n">
        <v>61</v>
      </c>
      <c r="F739" s="35" t="s">
        <v>235</v>
      </c>
      <c r="G739" s="35" t="s">
        <v>220</v>
      </c>
      <c r="H739" s="35" t="s">
        <v>211</v>
      </c>
      <c r="I739" s="35" t="s">
        <v>202</v>
      </c>
      <c r="J739" s="35" t="n">
        <v>4</v>
      </c>
      <c r="K739" s="65" t="n">
        <v>19284.6</v>
      </c>
      <c r="L739" s="65" t="n">
        <v>77138.4</v>
      </c>
      <c r="M739" s="66" t="n">
        <f aca="false">DATE(YEAR(B739),MONTH(B739),1)</f>
        <v>45992</v>
      </c>
      <c r="N739" s="35" t="str">
        <f aca="false">IF(G739="","Unknown",G739)</f>
        <v>Hyderabad</v>
      </c>
      <c r="O739" s="35" t="str">
        <f aca="false">IF(E739="","Unknown",IF(E739&lt;=25,"18-25",IF(E739&lt;=35,"26-35",IF(E739&lt;=45,"36-45",IF(E739&lt;=55,"46-55","56-65")))))</f>
        <v>56-65</v>
      </c>
      <c r="P739" s="35" t="n">
        <f aca="false">COUNTIF($C$2:$C$1001,C739)</f>
        <v>1</v>
      </c>
      <c r="Q739" s="35" t="n">
        <f aca="false">IF(COUNTIF($C$2:C739,C739)=1,1,0)</f>
        <v>1</v>
      </c>
    </row>
    <row r="740" customFormat="false" ht="15" hidden="false" customHeight="false" outlineLevel="0" collapsed="false">
      <c r="A740" s="35" t="s">
        <v>2070</v>
      </c>
      <c r="B740" s="64" t="n">
        <v>45851</v>
      </c>
      <c r="C740" s="35" t="s">
        <v>2071</v>
      </c>
      <c r="D740" s="35" t="s">
        <v>1286</v>
      </c>
      <c r="E740" s="35" t="n">
        <v>49</v>
      </c>
      <c r="F740" s="35" t="s">
        <v>234</v>
      </c>
      <c r="G740" s="35" t="s">
        <v>221</v>
      </c>
      <c r="H740" s="35" t="s">
        <v>208</v>
      </c>
      <c r="I740" s="35" t="s">
        <v>200</v>
      </c>
      <c r="J740" s="35" t="n">
        <v>4</v>
      </c>
      <c r="K740" s="65" t="n">
        <v>21098.23</v>
      </c>
      <c r="L740" s="65" t="n">
        <v>84392.92</v>
      </c>
      <c r="M740" s="66" t="n">
        <f aca="false">DATE(YEAR(B740),MONTH(B740),1)</f>
        <v>45839</v>
      </c>
      <c r="N740" s="35" t="str">
        <f aca="false">IF(G740="","Unknown",G740)</f>
        <v>Delhi</v>
      </c>
      <c r="O740" s="35" t="str">
        <f aca="false">IF(E740="","Unknown",IF(E740&lt;=25,"18-25",IF(E740&lt;=35,"26-35",IF(E740&lt;=45,"36-45",IF(E740&lt;=55,"46-55","56-65")))))</f>
        <v>46-55</v>
      </c>
      <c r="P740" s="35" t="n">
        <f aca="false">COUNTIF($C$2:$C$1001,C740)</f>
        <v>1</v>
      </c>
      <c r="Q740" s="35" t="n">
        <f aca="false">IF(COUNTIF($C$2:C740,C740)=1,1,0)</f>
        <v>1</v>
      </c>
    </row>
    <row r="741" customFormat="false" ht="15" hidden="false" customHeight="false" outlineLevel="0" collapsed="false">
      <c r="A741" s="35" t="s">
        <v>2072</v>
      </c>
      <c r="B741" s="64" t="n">
        <v>45930</v>
      </c>
      <c r="C741" s="35" t="s">
        <v>2073</v>
      </c>
      <c r="D741" s="35" t="s">
        <v>1576</v>
      </c>
      <c r="E741" s="35" t="n">
        <v>64</v>
      </c>
      <c r="F741" s="35" t="s">
        <v>234</v>
      </c>
      <c r="G741" s="35" t="s">
        <v>217</v>
      </c>
      <c r="H741" s="35" t="s">
        <v>212</v>
      </c>
      <c r="I741" s="35" t="s">
        <v>203</v>
      </c>
      <c r="J741" s="35" t="n">
        <v>2</v>
      </c>
      <c r="K741" s="65" t="n">
        <v>1876.89</v>
      </c>
      <c r="L741" s="65" t="n">
        <v>3753.78</v>
      </c>
      <c r="M741" s="66" t="n">
        <f aca="false">DATE(YEAR(B741),MONTH(B741),1)</f>
        <v>45901</v>
      </c>
      <c r="N741" s="35" t="str">
        <f aca="false">IF(G741="","Unknown",G741)</f>
        <v>Kolkata</v>
      </c>
      <c r="O741" s="35" t="str">
        <f aca="false">IF(E741="","Unknown",IF(E741&lt;=25,"18-25",IF(E741&lt;=35,"26-35",IF(E741&lt;=45,"36-45",IF(E741&lt;=55,"46-55","56-65")))))</f>
        <v>56-65</v>
      </c>
      <c r="P741" s="35" t="n">
        <f aca="false">COUNTIF($C$2:$C$1001,C741)</f>
        <v>1</v>
      </c>
      <c r="Q741" s="35" t="n">
        <f aca="false">IF(COUNTIF($C$2:C741,C741)=1,1,0)</f>
        <v>1</v>
      </c>
    </row>
    <row r="742" customFormat="false" ht="15" hidden="false" customHeight="false" outlineLevel="0" collapsed="false">
      <c r="A742" s="35" t="s">
        <v>2074</v>
      </c>
      <c r="B742" s="64" t="n">
        <v>45961</v>
      </c>
      <c r="C742" s="35" t="s">
        <v>2075</v>
      </c>
      <c r="D742" s="35" t="s">
        <v>287</v>
      </c>
      <c r="E742" s="35" t="n">
        <v>33</v>
      </c>
      <c r="F742" s="35" t="s">
        <v>234</v>
      </c>
      <c r="G742" s="35" t="s">
        <v>222</v>
      </c>
      <c r="H742" s="35" t="s">
        <v>211</v>
      </c>
      <c r="I742" s="35" t="s">
        <v>202</v>
      </c>
      <c r="J742" s="35" t="n">
        <v>7</v>
      </c>
      <c r="K742" s="65" t="n">
        <v>9084.03</v>
      </c>
      <c r="L742" s="65" t="n">
        <v>63588.21</v>
      </c>
      <c r="M742" s="66" t="n">
        <f aca="false">DATE(YEAR(B742),MONTH(B742),1)</f>
        <v>45931</v>
      </c>
      <c r="N742" s="35" t="str">
        <f aca="false">IF(G742="","Unknown",G742)</f>
        <v>Pune</v>
      </c>
      <c r="O742" s="35" t="str">
        <f aca="false">IF(E742="","Unknown",IF(E742&lt;=25,"18-25",IF(E742&lt;=35,"26-35",IF(E742&lt;=45,"36-45",IF(E742&lt;=55,"46-55","56-65")))))</f>
        <v>26-35</v>
      </c>
      <c r="P742" s="35" t="n">
        <f aca="false">COUNTIF($C$2:$C$1001,C742)</f>
        <v>1</v>
      </c>
      <c r="Q742" s="35" t="n">
        <f aca="false">IF(COUNTIF($C$2:C742,C742)=1,1,0)</f>
        <v>1</v>
      </c>
    </row>
    <row r="743" customFormat="false" ht="15" hidden="false" customHeight="false" outlineLevel="0" collapsed="false">
      <c r="A743" s="35" t="s">
        <v>2076</v>
      </c>
      <c r="B743" s="64" t="n">
        <v>45725</v>
      </c>
      <c r="C743" s="35" t="s">
        <v>2077</v>
      </c>
      <c r="D743" s="35" t="s">
        <v>2078</v>
      </c>
      <c r="E743" s="35" t="n">
        <v>42</v>
      </c>
      <c r="F743" s="35" t="s">
        <v>235</v>
      </c>
      <c r="G743" s="35" t="s">
        <v>223</v>
      </c>
      <c r="H743" s="35" t="s">
        <v>211</v>
      </c>
      <c r="I743" s="35" t="s">
        <v>202</v>
      </c>
      <c r="J743" s="35" t="n">
        <v>3</v>
      </c>
      <c r="K743" s="65" t="n">
        <v>45959.58</v>
      </c>
      <c r="L743" s="65" t="n">
        <v>137878.74</v>
      </c>
      <c r="M743" s="66" t="n">
        <f aca="false">DATE(YEAR(B743),MONTH(B743),1)</f>
        <v>45717</v>
      </c>
      <c r="N743" s="35" t="str">
        <f aca="false">IF(G743="","Unknown",G743)</f>
        <v>Gaya</v>
      </c>
      <c r="O743" s="35" t="str">
        <f aca="false">IF(E743="","Unknown",IF(E743&lt;=25,"18-25",IF(E743&lt;=35,"26-35",IF(E743&lt;=45,"36-45",IF(E743&lt;=55,"46-55","56-65")))))</f>
        <v>36-45</v>
      </c>
      <c r="P743" s="35" t="n">
        <f aca="false">COUNTIF($C$2:$C$1001,C743)</f>
        <v>1</v>
      </c>
      <c r="Q743" s="35" t="n">
        <f aca="false">IF(COUNTIF($C$2:C743,C743)=1,1,0)</f>
        <v>1</v>
      </c>
    </row>
    <row r="744" customFormat="false" ht="15" hidden="false" customHeight="false" outlineLevel="0" collapsed="false">
      <c r="A744" s="35" t="s">
        <v>2079</v>
      </c>
      <c r="B744" s="64" t="n">
        <v>45911</v>
      </c>
      <c r="C744" s="35" t="s">
        <v>865</v>
      </c>
      <c r="D744" s="35" t="s">
        <v>1657</v>
      </c>
      <c r="E744" s="35" t="n">
        <v>29</v>
      </c>
      <c r="F744" s="35" t="s">
        <v>234</v>
      </c>
      <c r="G744" s="35" t="s">
        <v>222</v>
      </c>
      <c r="H744" s="35" t="s">
        <v>212</v>
      </c>
      <c r="I744" s="35" t="s">
        <v>203</v>
      </c>
      <c r="J744" s="35" t="n">
        <v>8</v>
      </c>
      <c r="K744" s="65" t="n">
        <v>8692.39</v>
      </c>
      <c r="L744" s="65" t="n">
        <v>69539.12</v>
      </c>
      <c r="M744" s="66" t="n">
        <f aca="false">DATE(YEAR(B744),MONTH(B744),1)</f>
        <v>45901</v>
      </c>
      <c r="N744" s="35" t="str">
        <f aca="false">IF(G744="","Unknown",G744)</f>
        <v>Pune</v>
      </c>
      <c r="O744" s="35" t="str">
        <f aca="false">IF(E744="","Unknown",IF(E744&lt;=25,"18-25",IF(E744&lt;=35,"26-35",IF(E744&lt;=45,"36-45",IF(E744&lt;=55,"46-55","56-65")))))</f>
        <v>26-35</v>
      </c>
      <c r="P744" s="35" t="n">
        <f aca="false">COUNTIF($C$2:$C$1001,C744)</f>
        <v>2</v>
      </c>
      <c r="Q744" s="35" t="n">
        <f aca="false">IF(COUNTIF($C$2:C744,C744)=1,1,0)</f>
        <v>0</v>
      </c>
    </row>
    <row r="745" customFormat="false" ht="15" hidden="false" customHeight="false" outlineLevel="0" collapsed="false">
      <c r="A745" s="35" t="s">
        <v>2080</v>
      </c>
      <c r="B745" s="64" t="n">
        <v>45988</v>
      </c>
      <c r="C745" s="35" t="s">
        <v>2081</v>
      </c>
      <c r="D745" s="35" t="s">
        <v>1687</v>
      </c>
      <c r="E745" s="35" t="n">
        <v>22</v>
      </c>
      <c r="F745" s="35" t="s">
        <v>234</v>
      </c>
      <c r="G745" s="35" t="s">
        <v>216</v>
      </c>
      <c r="H745" s="35" t="s">
        <v>208</v>
      </c>
      <c r="I745" s="35" t="s">
        <v>200</v>
      </c>
      <c r="J745" s="35" t="n">
        <v>7</v>
      </c>
      <c r="K745" s="65" t="n">
        <v>45703.28</v>
      </c>
      <c r="L745" s="65" t="n">
        <v>319922.96</v>
      </c>
      <c r="M745" s="66" t="n">
        <f aca="false">DATE(YEAR(B745),MONTH(B745),1)</f>
        <v>45962</v>
      </c>
      <c r="N745" s="35" t="str">
        <f aca="false">IF(G745="","Unknown",G745)</f>
        <v>Patna</v>
      </c>
      <c r="O745" s="35" t="str">
        <f aca="false">IF(E745="","Unknown",IF(E745&lt;=25,"18-25",IF(E745&lt;=35,"26-35",IF(E745&lt;=45,"36-45",IF(E745&lt;=55,"46-55","56-65")))))</f>
        <v>18-25</v>
      </c>
      <c r="P745" s="35" t="n">
        <f aca="false">COUNTIF($C$2:$C$1001,C745)</f>
        <v>1</v>
      </c>
      <c r="Q745" s="35" t="n">
        <f aca="false">IF(COUNTIF($C$2:C745,C745)=1,1,0)</f>
        <v>1</v>
      </c>
    </row>
    <row r="746" customFormat="false" ht="15" hidden="false" customHeight="false" outlineLevel="0" collapsed="false">
      <c r="A746" s="35" t="s">
        <v>2082</v>
      </c>
      <c r="B746" s="64" t="n">
        <v>45974</v>
      </c>
      <c r="C746" s="35" t="s">
        <v>2083</v>
      </c>
      <c r="D746" s="35" t="s">
        <v>1304</v>
      </c>
      <c r="E746" s="35" t="n">
        <v>22</v>
      </c>
      <c r="F746" s="35" t="s">
        <v>234</v>
      </c>
      <c r="G746" s="35" t="s">
        <v>222</v>
      </c>
      <c r="H746" s="35" t="s">
        <v>209</v>
      </c>
      <c r="I746" s="35" t="s">
        <v>200</v>
      </c>
      <c r="J746" s="35" t="n">
        <v>4</v>
      </c>
      <c r="K746" s="65" t="n">
        <v>30973.53</v>
      </c>
      <c r="L746" s="65" t="n">
        <v>123894.12</v>
      </c>
      <c r="M746" s="66" t="n">
        <f aca="false">DATE(YEAR(B746),MONTH(B746),1)</f>
        <v>45962</v>
      </c>
      <c r="N746" s="35" t="str">
        <f aca="false">IF(G746="","Unknown",G746)</f>
        <v>Pune</v>
      </c>
      <c r="O746" s="35" t="str">
        <f aca="false">IF(E746="","Unknown",IF(E746&lt;=25,"18-25",IF(E746&lt;=35,"26-35",IF(E746&lt;=45,"36-45",IF(E746&lt;=55,"46-55","56-65")))))</f>
        <v>18-25</v>
      </c>
      <c r="P746" s="35" t="n">
        <f aca="false">COUNTIF($C$2:$C$1001,C746)</f>
        <v>1</v>
      </c>
      <c r="Q746" s="35" t="n">
        <f aca="false">IF(COUNTIF($C$2:C746,C746)=1,1,0)</f>
        <v>1</v>
      </c>
    </row>
    <row r="747" customFormat="false" ht="15" hidden="false" customHeight="false" outlineLevel="0" collapsed="false">
      <c r="A747" s="35" t="s">
        <v>2084</v>
      </c>
      <c r="B747" s="64" t="n">
        <v>45661</v>
      </c>
      <c r="C747" s="35" t="s">
        <v>2085</v>
      </c>
      <c r="D747" s="35" t="s">
        <v>824</v>
      </c>
      <c r="E747" s="35" t="n">
        <v>55</v>
      </c>
      <c r="F747" s="35" t="s">
        <v>234</v>
      </c>
      <c r="G747" s="35" t="s">
        <v>216</v>
      </c>
      <c r="H747" s="35" t="s">
        <v>212</v>
      </c>
      <c r="I747" s="35" t="s">
        <v>203</v>
      </c>
      <c r="J747" s="35" t="n">
        <v>5</v>
      </c>
      <c r="K747" s="65" t="n">
        <v>49147.41</v>
      </c>
      <c r="L747" s="65" t="n">
        <v>245737.05</v>
      </c>
      <c r="M747" s="66" t="n">
        <f aca="false">DATE(YEAR(B747),MONTH(B747),1)</f>
        <v>45658</v>
      </c>
      <c r="N747" s="35" t="str">
        <f aca="false">IF(G747="","Unknown",G747)</f>
        <v>Patna</v>
      </c>
      <c r="O747" s="35" t="str">
        <f aca="false">IF(E747="","Unknown",IF(E747&lt;=25,"18-25",IF(E747&lt;=35,"26-35",IF(E747&lt;=45,"36-45",IF(E747&lt;=55,"46-55","56-65")))))</f>
        <v>46-55</v>
      </c>
      <c r="P747" s="35" t="n">
        <f aca="false">COUNTIF($C$2:$C$1001,C747)</f>
        <v>1</v>
      </c>
      <c r="Q747" s="35" t="n">
        <f aca="false">IF(COUNTIF($C$2:C747,C747)=1,1,0)</f>
        <v>1</v>
      </c>
    </row>
    <row r="748" customFormat="false" ht="15" hidden="false" customHeight="false" outlineLevel="0" collapsed="false">
      <c r="A748" s="35" t="s">
        <v>2086</v>
      </c>
      <c r="B748" s="64" t="n">
        <v>45769</v>
      </c>
      <c r="C748" s="35" t="s">
        <v>1155</v>
      </c>
      <c r="D748" s="35" t="s">
        <v>713</v>
      </c>
      <c r="E748" s="35" t="n">
        <v>57</v>
      </c>
      <c r="F748" s="35" t="s">
        <v>234</v>
      </c>
      <c r="G748" s="35" t="s">
        <v>223</v>
      </c>
      <c r="H748" s="35" t="s">
        <v>208</v>
      </c>
      <c r="I748" s="35" t="s">
        <v>200</v>
      </c>
      <c r="J748" s="35" t="n">
        <v>10</v>
      </c>
      <c r="K748" s="65" t="n">
        <v>17533.55</v>
      </c>
      <c r="L748" s="65" t="n">
        <v>175335.5</v>
      </c>
      <c r="M748" s="66" t="n">
        <f aca="false">DATE(YEAR(B748),MONTH(B748),1)</f>
        <v>45748</v>
      </c>
      <c r="N748" s="35" t="str">
        <f aca="false">IF(G748="","Unknown",G748)</f>
        <v>Gaya</v>
      </c>
      <c r="O748" s="35" t="str">
        <f aca="false">IF(E748="","Unknown",IF(E748&lt;=25,"18-25",IF(E748&lt;=35,"26-35",IF(E748&lt;=45,"36-45",IF(E748&lt;=55,"46-55","56-65")))))</f>
        <v>56-65</v>
      </c>
      <c r="P748" s="35" t="n">
        <f aca="false">COUNTIF($C$2:$C$1001,C748)</f>
        <v>2</v>
      </c>
      <c r="Q748" s="35" t="n">
        <f aca="false">IF(COUNTIF($C$2:C748,C748)=1,1,0)</f>
        <v>0</v>
      </c>
    </row>
    <row r="749" customFormat="false" ht="15" hidden="false" customHeight="false" outlineLevel="0" collapsed="false">
      <c r="A749" s="35" t="s">
        <v>2087</v>
      </c>
      <c r="B749" s="64" t="n">
        <v>45770</v>
      </c>
      <c r="C749" s="35" t="s">
        <v>2088</v>
      </c>
      <c r="D749" s="35" t="s">
        <v>860</v>
      </c>
      <c r="E749" s="35" t="n">
        <v>22</v>
      </c>
      <c r="F749" s="35" t="s">
        <v>235</v>
      </c>
      <c r="G749" s="35" t="s">
        <v>217</v>
      </c>
      <c r="H749" s="35" t="s">
        <v>208</v>
      </c>
      <c r="I749" s="35" t="s">
        <v>200</v>
      </c>
      <c r="J749" s="35" t="n">
        <v>5</v>
      </c>
      <c r="K749" s="65" t="n">
        <v>18457.22</v>
      </c>
      <c r="L749" s="65" t="n">
        <v>92286.1</v>
      </c>
      <c r="M749" s="66" t="n">
        <f aca="false">DATE(YEAR(B749),MONTH(B749),1)</f>
        <v>45748</v>
      </c>
      <c r="N749" s="35" t="str">
        <f aca="false">IF(G749="","Unknown",G749)</f>
        <v>Kolkata</v>
      </c>
      <c r="O749" s="35" t="str">
        <f aca="false">IF(E749="","Unknown",IF(E749&lt;=25,"18-25",IF(E749&lt;=35,"26-35",IF(E749&lt;=45,"36-45",IF(E749&lt;=55,"46-55","56-65")))))</f>
        <v>18-25</v>
      </c>
      <c r="P749" s="35" t="n">
        <f aca="false">COUNTIF($C$2:$C$1001,C749)</f>
        <v>1</v>
      </c>
      <c r="Q749" s="35" t="n">
        <f aca="false">IF(COUNTIF($C$2:C749,C749)=1,1,0)</f>
        <v>1</v>
      </c>
    </row>
    <row r="750" customFormat="false" ht="15" hidden="false" customHeight="false" outlineLevel="0" collapsed="false">
      <c r="A750" s="35" t="s">
        <v>2089</v>
      </c>
      <c r="B750" s="64" t="n">
        <v>45856</v>
      </c>
      <c r="C750" s="35" t="s">
        <v>2090</v>
      </c>
      <c r="D750" s="35" t="s">
        <v>738</v>
      </c>
      <c r="E750" s="35"/>
      <c r="F750" s="35" t="s">
        <v>235</v>
      </c>
      <c r="G750" s="35"/>
      <c r="H750" s="35" t="s">
        <v>212</v>
      </c>
      <c r="I750" s="35" t="s">
        <v>203</v>
      </c>
      <c r="J750" s="35" t="n">
        <v>10</v>
      </c>
      <c r="K750" s="65" t="n">
        <v>43808.06</v>
      </c>
      <c r="L750" s="65" t="n">
        <v>438080.6</v>
      </c>
      <c r="M750" s="66" t="n">
        <f aca="false">DATE(YEAR(B750),MONTH(B750),1)</f>
        <v>45839</v>
      </c>
      <c r="N750" s="35" t="str">
        <f aca="false">IF(G750="","Unknown",G750)</f>
        <v>Unknown</v>
      </c>
      <c r="O750" s="35" t="str">
        <f aca="false">IF(E750="","Unknown",IF(E750&lt;=25,"18-25",IF(E750&lt;=35,"26-35",IF(E750&lt;=45,"36-45",IF(E750&lt;=55,"46-55","56-65")))))</f>
        <v>Unknown</v>
      </c>
      <c r="P750" s="35" t="n">
        <f aca="false">COUNTIF($C$2:$C$1001,C750)</f>
        <v>2</v>
      </c>
      <c r="Q750" s="35" t="n">
        <f aca="false">IF(COUNTIF($C$2:C750,C750)=1,1,0)</f>
        <v>1</v>
      </c>
    </row>
    <row r="751" customFormat="false" ht="15" hidden="false" customHeight="false" outlineLevel="0" collapsed="false">
      <c r="A751" s="35" t="s">
        <v>2091</v>
      </c>
      <c r="B751" s="64" t="n">
        <v>45668</v>
      </c>
      <c r="C751" s="35" t="s">
        <v>2092</v>
      </c>
      <c r="D751" s="35" t="s">
        <v>738</v>
      </c>
      <c r="E751" s="35" t="n">
        <v>60</v>
      </c>
      <c r="F751" s="35" t="s">
        <v>235</v>
      </c>
      <c r="G751" s="35" t="s">
        <v>222</v>
      </c>
      <c r="H751" s="35" t="s">
        <v>210</v>
      </c>
      <c r="I751" s="35" t="s">
        <v>201</v>
      </c>
      <c r="J751" s="35" t="n">
        <v>6</v>
      </c>
      <c r="K751" s="65" t="n">
        <v>24375.93</v>
      </c>
      <c r="L751" s="65" t="n">
        <v>146255.58</v>
      </c>
      <c r="M751" s="66" t="n">
        <f aca="false">DATE(YEAR(B751),MONTH(B751),1)</f>
        <v>45658</v>
      </c>
      <c r="N751" s="35" t="str">
        <f aca="false">IF(G751="","Unknown",G751)</f>
        <v>Pune</v>
      </c>
      <c r="O751" s="35" t="str">
        <f aca="false">IF(E751="","Unknown",IF(E751&lt;=25,"18-25",IF(E751&lt;=35,"26-35",IF(E751&lt;=45,"36-45",IF(E751&lt;=55,"46-55","56-65")))))</f>
        <v>56-65</v>
      </c>
      <c r="P751" s="35" t="n">
        <f aca="false">COUNTIF($C$2:$C$1001,C751)</f>
        <v>1</v>
      </c>
      <c r="Q751" s="35" t="n">
        <f aca="false">IF(COUNTIF($C$2:C751,C751)=1,1,0)</f>
        <v>1</v>
      </c>
    </row>
    <row r="752" customFormat="false" ht="15" hidden="false" customHeight="false" outlineLevel="0" collapsed="false">
      <c r="A752" s="35" t="s">
        <v>2093</v>
      </c>
      <c r="B752" s="64" t="n">
        <v>45728</v>
      </c>
      <c r="C752" s="35" t="s">
        <v>2094</v>
      </c>
      <c r="D752" s="35" t="s">
        <v>560</v>
      </c>
      <c r="E752" s="35" t="n">
        <v>27</v>
      </c>
      <c r="F752" s="35" t="s">
        <v>234</v>
      </c>
      <c r="G752" s="35" t="s">
        <v>216</v>
      </c>
      <c r="H752" s="35" t="s">
        <v>213</v>
      </c>
      <c r="I752" s="35" t="s">
        <v>204</v>
      </c>
      <c r="J752" s="35" t="n">
        <v>4</v>
      </c>
      <c r="K752" s="65" t="n">
        <v>34969.02</v>
      </c>
      <c r="L752" s="65" t="n">
        <v>139876.08</v>
      </c>
      <c r="M752" s="66" t="n">
        <f aca="false">DATE(YEAR(B752),MONTH(B752),1)</f>
        <v>45717</v>
      </c>
      <c r="N752" s="35" t="str">
        <f aca="false">IF(G752="","Unknown",G752)</f>
        <v>Patna</v>
      </c>
      <c r="O752" s="35" t="str">
        <f aca="false">IF(E752="","Unknown",IF(E752&lt;=25,"18-25",IF(E752&lt;=35,"26-35",IF(E752&lt;=45,"36-45",IF(E752&lt;=55,"46-55","56-65")))))</f>
        <v>26-35</v>
      </c>
      <c r="P752" s="35" t="n">
        <f aca="false">COUNTIF($C$2:$C$1001,C752)</f>
        <v>1</v>
      </c>
      <c r="Q752" s="35" t="n">
        <f aca="false">IF(COUNTIF($C$2:C752,C752)=1,1,0)</f>
        <v>1</v>
      </c>
    </row>
    <row r="753" customFormat="false" ht="15" hidden="false" customHeight="false" outlineLevel="0" collapsed="false">
      <c r="A753" s="35" t="s">
        <v>2095</v>
      </c>
      <c r="B753" s="64" t="n">
        <v>45919</v>
      </c>
      <c r="C753" s="35" t="s">
        <v>2096</v>
      </c>
      <c r="D753" s="35" t="s">
        <v>2097</v>
      </c>
      <c r="E753" s="35" t="n">
        <v>33</v>
      </c>
      <c r="F753" s="35" t="s">
        <v>235</v>
      </c>
      <c r="G753" s="35" t="s">
        <v>220</v>
      </c>
      <c r="H753" s="35" t="s">
        <v>210</v>
      </c>
      <c r="I753" s="35" t="s">
        <v>201</v>
      </c>
      <c r="J753" s="35" t="n">
        <v>1</v>
      </c>
      <c r="K753" s="65" t="n">
        <v>17299.04</v>
      </c>
      <c r="L753" s="65" t="n">
        <v>17299.04</v>
      </c>
      <c r="M753" s="66" t="n">
        <f aca="false">DATE(YEAR(B753),MONTH(B753),1)</f>
        <v>45901</v>
      </c>
      <c r="N753" s="35" t="str">
        <f aca="false">IF(G753="","Unknown",G753)</f>
        <v>Hyderabad</v>
      </c>
      <c r="O753" s="35" t="str">
        <f aca="false">IF(E753="","Unknown",IF(E753&lt;=25,"18-25",IF(E753&lt;=35,"26-35",IF(E753&lt;=45,"36-45",IF(E753&lt;=55,"46-55","56-65")))))</f>
        <v>26-35</v>
      </c>
      <c r="P753" s="35" t="n">
        <f aca="false">COUNTIF($C$2:$C$1001,C753)</f>
        <v>1</v>
      </c>
      <c r="Q753" s="35" t="n">
        <f aca="false">IF(COUNTIF($C$2:C753,C753)=1,1,0)</f>
        <v>1</v>
      </c>
    </row>
    <row r="754" customFormat="false" ht="15" hidden="false" customHeight="false" outlineLevel="0" collapsed="false">
      <c r="A754" s="35" t="s">
        <v>2098</v>
      </c>
      <c r="B754" s="64" t="n">
        <v>45681</v>
      </c>
      <c r="C754" s="35" t="s">
        <v>2099</v>
      </c>
      <c r="D754" s="35" t="s">
        <v>2100</v>
      </c>
      <c r="E754" s="35" t="n">
        <v>40</v>
      </c>
      <c r="F754" s="35" t="s">
        <v>234</v>
      </c>
      <c r="G754" s="35" t="s">
        <v>217</v>
      </c>
      <c r="H754" s="35" t="s">
        <v>209</v>
      </c>
      <c r="I754" s="35" t="s">
        <v>200</v>
      </c>
      <c r="J754" s="35" t="n">
        <v>5</v>
      </c>
      <c r="K754" s="65" t="n">
        <v>10274.45</v>
      </c>
      <c r="L754" s="65" t="n">
        <v>51372.25</v>
      </c>
      <c r="M754" s="66" t="n">
        <f aca="false">DATE(YEAR(B754),MONTH(B754),1)</f>
        <v>45658</v>
      </c>
      <c r="N754" s="35" t="str">
        <f aca="false">IF(G754="","Unknown",G754)</f>
        <v>Kolkata</v>
      </c>
      <c r="O754" s="35" t="str">
        <f aca="false">IF(E754="","Unknown",IF(E754&lt;=25,"18-25",IF(E754&lt;=35,"26-35",IF(E754&lt;=45,"36-45",IF(E754&lt;=55,"46-55","56-65")))))</f>
        <v>36-45</v>
      </c>
      <c r="P754" s="35" t="n">
        <f aca="false">COUNTIF($C$2:$C$1001,C754)</f>
        <v>1</v>
      </c>
      <c r="Q754" s="35" t="n">
        <f aca="false">IF(COUNTIF($C$2:C754,C754)=1,1,0)</f>
        <v>1</v>
      </c>
    </row>
    <row r="755" customFormat="false" ht="15" hidden="false" customHeight="false" outlineLevel="0" collapsed="false">
      <c r="A755" s="35" t="s">
        <v>2101</v>
      </c>
      <c r="B755" s="64" t="n">
        <v>45980</v>
      </c>
      <c r="C755" s="35" t="s">
        <v>2102</v>
      </c>
      <c r="D755" s="35" t="s">
        <v>1487</v>
      </c>
      <c r="E755" s="35" t="n">
        <v>60</v>
      </c>
      <c r="F755" s="35" t="s">
        <v>235</v>
      </c>
      <c r="G755" s="35" t="s">
        <v>221</v>
      </c>
      <c r="H755" s="35" t="s">
        <v>210</v>
      </c>
      <c r="I755" s="35" t="s">
        <v>201</v>
      </c>
      <c r="J755" s="35" t="n">
        <v>10</v>
      </c>
      <c r="K755" s="65" t="n">
        <v>24270.17</v>
      </c>
      <c r="L755" s="65" t="n">
        <v>242701.7</v>
      </c>
      <c r="M755" s="66" t="n">
        <f aca="false">DATE(YEAR(B755),MONTH(B755),1)</f>
        <v>45962</v>
      </c>
      <c r="N755" s="35" t="str">
        <f aca="false">IF(G755="","Unknown",G755)</f>
        <v>Delhi</v>
      </c>
      <c r="O755" s="35" t="str">
        <f aca="false">IF(E755="","Unknown",IF(E755&lt;=25,"18-25",IF(E755&lt;=35,"26-35",IF(E755&lt;=45,"36-45",IF(E755&lt;=55,"46-55","56-65")))))</f>
        <v>56-65</v>
      </c>
      <c r="P755" s="35" t="n">
        <f aca="false">COUNTIF($C$2:$C$1001,C755)</f>
        <v>1</v>
      </c>
      <c r="Q755" s="35" t="n">
        <f aca="false">IF(COUNTIF($C$2:C755,C755)=1,1,0)</f>
        <v>1</v>
      </c>
    </row>
    <row r="756" customFormat="false" ht="15" hidden="false" customHeight="false" outlineLevel="0" collapsed="false">
      <c r="A756" s="35" t="s">
        <v>2103</v>
      </c>
      <c r="B756" s="64" t="n">
        <v>46011</v>
      </c>
      <c r="C756" s="35" t="s">
        <v>2104</v>
      </c>
      <c r="D756" s="35" t="s">
        <v>403</v>
      </c>
      <c r="E756" s="35" t="n">
        <v>59</v>
      </c>
      <c r="F756" s="35" t="s">
        <v>234</v>
      </c>
      <c r="G756" s="35" t="s">
        <v>216</v>
      </c>
      <c r="H756" s="35" t="s">
        <v>211</v>
      </c>
      <c r="I756" s="35" t="s">
        <v>202</v>
      </c>
      <c r="J756" s="35" t="n">
        <v>10</v>
      </c>
      <c r="K756" s="65" t="n">
        <v>2066.93</v>
      </c>
      <c r="L756" s="65" t="n">
        <v>20669.3</v>
      </c>
      <c r="M756" s="66" t="n">
        <f aca="false">DATE(YEAR(B756),MONTH(B756),1)</f>
        <v>45992</v>
      </c>
      <c r="N756" s="35" t="str">
        <f aca="false">IF(G756="","Unknown",G756)</f>
        <v>Patna</v>
      </c>
      <c r="O756" s="35" t="str">
        <f aca="false">IF(E756="","Unknown",IF(E756&lt;=25,"18-25",IF(E756&lt;=35,"26-35",IF(E756&lt;=45,"36-45",IF(E756&lt;=55,"46-55","56-65")))))</f>
        <v>56-65</v>
      </c>
      <c r="P756" s="35" t="n">
        <f aca="false">COUNTIF($C$2:$C$1001,C756)</f>
        <v>1</v>
      </c>
      <c r="Q756" s="35" t="n">
        <f aca="false">IF(COUNTIF($C$2:C756,C756)=1,1,0)</f>
        <v>1</v>
      </c>
    </row>
    <row r="757" customFormat="false" ht="15" hidden="false" customHeight="false" outlineLevel="0" collapsed="false">
      <c r="A757" s="35" t="s">
        <v>2105</v>
      </c>
      <c r="B757" s="64" t="n">
        <v>45785</v>
      </c>
      <c r="C757" s="35" t="s">
        <v>2106</v>
      </c>
      <c r="D757" s="35" t="s">
        <v>2107</v>
      </c>
      <c r="E757" s="35" t="n">
        <v>29</v>
      </c>
      <c r="F757" s="35" t="s">
        <v>235</v>
      </c>
      <c r="G757" s="35" t="s">
        <v>217</v>
      </c>
      <c r="H757" s="35" t="s">
        <v>212</v>
      </c>
      <c r="I757" s="35" t="s">
        <v>203</v>
      </c>
      <c r="J757" s="35" t="n">
        <v>10</v>
      </c>
      <c r="K757" s="65" t="n">
        <v>13304.47</v>
      </c>
      <c r="L757" s="65" t="n">
        <v>133044.7</v>
      </c>
      <c r="M757" s="66" t="n">
        <f aca="false">DATE(YEAR(B757),MONTH(B757),1)</f>
        <v>45778</v>
      </c>
      <c r="N757" s="35" t="str">
        <f aca="false">IF(G757="","Unknown",G757)</f>
        <v>Kolkata</v>
      </c>
      <c r="O757" s="35" t="str">
        <f aca="false">IF(E757="","Unknown",IF(E757&lt;=25,"18-25",IF(E757&lt;=35,"26-35",IF(E757&lt;=45,"36-45",IF(E757&lt;=55,"46-55","56-65")))))</f>
        <v>26-35</v>
      </c>
      <c r="P757" s="35" t="n">
        <f aca="false">COUNTIF($C$2:$C$1001,C757)</f>
        <v>1</v>
      </c>
      <c r="Q757" s="35" t="n">
        <f aca="false">IF(COUNTIF($C$2:C757,C757)=1,1,0)</f>
        <v>1</v>
      </c>
    </row>
    <row r="758" customFormat="false" ht="15" hidden="false" customHeight="false" outlineLevel="0" collapsed="false">
      <c r="A758" s="35" t="s">
        <v>2108</v>
      </c>
      <c r="B758" s="64" t="n">
        <v>45963</v>
      </c>
      <c r="C758" s="35" t="s">
        <v>2109</v>
      </c>
      <c r="D758" s="35" t="s">
        <v>1664</v>
      </c>
      <c r="E758" s="35" t="n">
        <v>21</v>
      </c>
      <c r="F758" s="35" t="s">
        <v>234</v>
      </c>
      <c r="G758" s="35" t="s">
        <v>220</v>
      </c>
      <c r="H758" s="35" t="s">
        <v>209</v>
      </c>
      <c r="I758" s="35" t="s">
        <v>200</v>
      </c>
      <c r="J758" s="35" t="n">
        <v>5</v>
      </c>
      <c r="K758" s="65" t="n">
        <v>9442.5</v>
      </c>
      <c r="L758" s="65" t="n">
        <v>47212.5</v>
      </c>
      <c r="M758" s="66" t="n">
        <f aca="false">DATE(YEAR(B758),MONTH(B758),1)</f>
        <v>45962</v>
      </c>
      <c r="N758" s="35" t="str">
        <f aca="false">IF(G758="","Unknown",G758)</f>
        <v>Hyderabad</v>
      </c>
      <c r="O758" s="35" t="str">
        <f aca="false">IF(E758="","Unknown",IF(E758&lt;=25,"18-25",IF(E758&lt;=35,"26-35",IF(E758&lt;=45,"36-45",IF(E758&lt;=55,"46-55","56-65")))))</f>
        <v>18-25</v>
      </c>
      <c r="P758" s="35" t="n">
        <f aca="false">COUNTIF($C$2:$C$1001,C758)</f>
        <v>1</v>
      </c>
      <c r="Q758" s="35" t="n">
        <f aca="false">IF(COUNTIF($C$2:C758,C758)=1,1,0)</f>
        <v>1</v>
      </c>
    </row>
    <row r="759" customFormat="false" ht="15" hidden="false" customHeight="false" outlineLevel="0" collapsed="false">
      <c r="A759" s="35" t="s">
        <v>2110</v>
      </c>
      <c r="B759" s="64" t="n">
        <v>45812</v>
      </c>
      <c r="C759" s="35" t="s">
        <v>2111</v>
      </c>
      <c r="D759" s="35" t="s">
        <v>2112</v>
      </c>
      <c r="E759" s="35" t="n">
        <v>21</v>
      </c>
      <c r="F759" s="35" t="s">
        <v>235</v>
      </c>
      <c r="G759" s="35" t="s">
        <v>217</v>
      </c>
      <c r="H759" s="35" t="s">
        <v>209</v>
      </c>
      <c r="I759" s="35" t="s">
        <v>200</v>
      </c>
      <c r="J759" s="35" t="n">
        <v>10</v>
      </c>
      <c r="K759" s="65" t="n">
        <v>25698.62</v>
      </c>
      <c r="L759" s="65" t="n">
        <v>256986.2</v>
      </c>
      <c r="M759" s="66" t="n">
        <f aca="false">DATE(YEAR(B759),MONTH(B759),1)</f>
        <v>45809</v>
      </c>
      <c r="N759" s="35" t="str">
        <f aca="false">IF(G759="","Unknown",G759)</f>
        <v>Kolkata</v>
      </c>
      <c r="O759" s="35" t="str">
        <f aca="false">IF(E759="","Unknown",IF(E759&lt;=25,"18-25",IF(E759&lt;=35,"26-35",IF(E759&lt;=45,"36-45",IF(E759&lt;=55,"46-55","56-65")))))</f>
        <v>18-25</v>
      </c>
      <c r="P759" s="35" t="n">
        <f aca="false">COUNTIF($C$2:$C$1001,C759)</f>
        <v>1</v>
      </c>
      <c r="Q759" s="35" t="n">
        <f aca="false">IF(COUNTIF($C$2:C759,C759)=1,1,0)</f>
        <v>1</v>
      </c>
    </row>
    <row r="760" customFormat="false" ht="15" hidden="false" customHeight="false" outlineLevel="0" collapsed="false">
      <c r="A760" s="35" t="s">
        <v>2113</v>
      </c>
      <c r="B760" s="64" t="n">
        <v>46018</v>
      </c>
      <c r="C760" s="35" t="s">
        <v>2114</v>
      </c>
      <c r="D760" s="35" t="s">
        <v>696</v>
      </c>
      <c r="E760" s="35" t="n">
        <v>61</v>
      </c>
      <c r="F760" s="35" t="s">
        <v>234</v>
      </c>
      <c r="G760" s="35" t="s">
        <v>220</v>
      </c>
      <c r="H760" s="35" t="s">
        <v>213</v>
      </c>
      <c r="I760" s="35" t="s">
        <v>204</v>
      </c>
      <c r="J760" s="35" t="n">
        <v>8</v>
      </c>
      <c r="K760" s="65" t="n">
        <v>32219.95</v>
      </c>
      <c r="L760" s="65" t="n">
        <v>257759.6</v>
      </c>
      <c r="M760" s="66" t="n">
        <f aca="false">DATE(YEAR(B760),MONTH(B760),1)</f>
        <v>45992</v>
      </c>
      <c r="N760" s="35" t="str">
        <f aca="false">IF(G760="","Unknown",G760)</f>
        <v>Hyderabad</v>
      </c>
      <c r="O760" s="35" t="str">
        <f aca="false">IF(E760="","Unknown",IF(E760&lt;=25,"18-25",IF(E760&lt;=35,"26-35",IF(E760&lt;=45,"36-45",IF(E760&lt;=55,"46-55","56-65")))))</f>
        <v>56-65</v>
      </c>
      <c r="P760" s="35" t="n">
        <f aca="false">COUNTIF($C$2:$C$1001,C760)</f>
        <v>1</v>
      </c>
      <c r="Q760" s="35" t="n">
        <f aca="false">IF(COUNTIF($C$2:C760,C760)=1,1,0)</f>
        <v>1</v>
      </c>
    </row>
    <row r="761" customFormat="false" ht="15" hidden="false" customHeight="false" outlineLevel="0" collapsed="false">
      <c r="A761" s="35" t="s">
        <v>2115</v>
      </c>
      <c r="B761" s="64" t="n">
        <v>45932</v>
      </c>
      <c r="C761" s="35" t="s">
        <v>2116</v>
      </c>
      <c r="D761" s="35" t="s">
        <v>257</v>
      </c>
      <c r="E761" s="35" t="n">
        <v>59</v>
      </c>
      <c r="F761" s="35" t="s">
        <v>234</v>
      </c>
      <c r="G761" s="35" t="s">
        <v>221</v>
      </c>
      <c r="H761" s="35" t="s">
        <v>208</v>
      </c>
      <c r="I761" s="35" t="s">
        <v>200</v>
      </c>
      <c r="J761" s="35" t="n">
        <v>2</v>
      </c>
      <c r="K761" s="65" t="n">
        <v>14931.2</v>
      </c>
      <c r="L761" s="65" t="n">
        <v>29862.4</v>
      </c>
      <c r="M761" s="66" t="n">
        <f aca="false">DATE(YEAR(B761),MONTH(B761),1)</f>
        <v>45931</v>
      </c>
      <c r="N761" s="35" t="str">
        <f aca="false">IF(G761="","Unknown",G761)</f>
        <v>Delhi</v>
      </c>
      <c r="O761" s="35" t="str">
        <f aca="false">IF(E761="","Unknown",IF(E761&lt;=25,"18-25",IF(E761&lt;=35,"26-35",IF(E761&lt;=45,"36-45",IF(E761&lt;=55,"46-55","56-65")))))</f>
        <v>56-65</v>
      </c>
      <c r="P761" s="35" t="n">
        <f aca="false">COUNTIF($C$2:$C$1001,C761)</f>
        <v>1</v>
      </c>
      <c r="Q761" s="35" t="n">
        <f aca="false">IF(COUNTIF($C$2:C761,C761)=1,1,0)</f>
        <v>1</v>
      </c>
    </row>
    <row r="762" customFormat="false" ht="15" hidden="false" customHeight="false" outlineLevel="0" collapsed="false">
      <c r="A762" s="35" t="s">
        <v>2117</v>
      </c>
      <c r="B762" s="64" t="n">
        <v>45998</v>
      </c>
      <c r="C762" s="35" t="s">
        <v>2118</v>
      </c>
      <c r="D762" s="35" t="s">
        <v>2119</v>
      </c>
      <c r="E762" s="35" t="n">
        <v>48</v>
      </c>
      <c r="F762" s="35" t="s">
        <v>234</v>
      </c>
      <c r="G762" s="35" t="s">
        <v>217</v>
      </c>
      <c r="H762" s="35" t="s">
        <v>212</v>
      </c>
      <c r="I762" s="35" t="s">
        <v>203</v>
      </c>
      <c r="J762" s="35" t="n">
        <v>4</v>
      </c>
      <c r="K762" s="65" t="n">
        <v>40783.14</v>
      </c>
      <c r="L762" s="65" t="n">
        <v>163132.56</v>
      </c>
      <c r="M762" s="66" t="n">
        <f aca="false">DATE(YEAR(B762),MONTH(B762),1)</f>
        <v>45992</v>
      </c>
      <c r="N762" s="35" t="str">
        <f aca="false">IF(G762="","Unknown",G762)</f>
        <v>Kolkata</v>
      </c>
      <c r="O762" s="35" t="str">
        <f aca="false">IF(E762="","Unknown",IF(E762&lt;=25,"18-25",IF(E762&lt;=35,"26-35",IF(E762&lt;=45,"36-45",IF(E762&lt;=55,"46-55","56-65")))))</f>
        <v>46-55</v>
      </c>
      <c r="P762" s="35" t="n">
        <f aca="false">COUNTIF($C$2:$C$1001,C762)</f>
        <v>1</v>
      </c>
      <c r="Q762" s="35" t="n">
        <f aca="false">IF(COUNTIF($C$2:C762,C762)=1,1,0)</f>
        <v>1</v>
      </c>
    </row>
    <row r="763" customFormat="false" ht="15" hidden="false" customHeight="false" outlineLevel="0" collapsed="false">
      <c r="A763" s="35" t="s">
        <v>2120</v>
      </c>
      <c r="B763" s="64" t="n">
        <v>45778</v>
      </c>
      <c r="C763" s="35" t="s">
        <v>2121</v>
      </c>
      <c r="D763" s="35" t="s">
        <v>1478</v>
      </c>
      <c r="E763" s="35" t="n">
        <v>56</v>
      </c>
      <c r="F763" s="35" t="s">
        <v>235</v>
      </c>
      <c r="G763" s="35" t="s">
        <v>223</v>
      </c>
      <c r="H763" s="35" t="s">
        <v>208</v>
      </c>
      <c r="I763" s="35" t="s">
        <v>200</v>
      </c>
      <c r="J763" s="35" t="n">
        <v>5</v>
      </c>
      <c r="K763" s="65" t="n">
        <v>17824.96</v>
      </c>
      <c r="L763" s="65" t="n">
        <v>89124.8</v>
      </c>
      <c r="M763" s="66" t="n">
        <f aca="false">DATE(YEAR(B763),MONTH(B763),1)</f>
        <v>45778</v>
      </c>
      <c r="N763" s="35" t="str">
        <f aca="false">IF(G763="","Unknown",G763)</f>
        <v>Gaya</v>
      </c>
      <c r="O763" s="35" t="str">
        <f aca="false">IF(E763="","Unknown",IF(E763&lt;=25,"18-25",IF(E763&lt;=35,"26-35",IF(E763&lt;=45,"36-45",IF(E763&lt;=55,"46-55","56-65")))))</f>
        <v>56-65</v>
      </c>
      <c r="P763" s="35" t="n">
        <f aca="false">COUNTIF($C$2:$C$1001,C763)</f>
        <v>1</v>
      </c>
      <c r="Q763" s="35" t="n">
        <f aca="false">IF(COUNTIF($C$2:C763,C763)=1,1,0)</f>
        <v>1</v>
      </c>
    </row>
    <row r="764" customFormat="false" ht="15" hidden="false" customHeight="false" outlineLevel="0" collapsed="false">
      <c r="A764" s="35" t="s">
        <v>2122</v>
      </c>
      <c r="B764" s="64" t="n">
        <v>45943</v>
      </c>
      <c r="C764" s="35" t="s">
        <v>476</v>
      </c>
      <c r="D764" s="35" t="s">
        <v>885</v>
      </c>
      <c r="E764" s="35" t="n">
        <v>32</v>
      </c>
      <c r="F764" s="35" t="s">
        <v>234</v>
      </c>
      <c r="G764" s="35" t="s">
        <v>218</v>
      </c>
      <c r="H764" s="35" t="s">
        <v>208</v>
      </c>
      <c r="I764" s="35" t="s">
        <v>200</v>
      </c>
      <c r="J764" s="35" t="n">
        <v>10</v>
      </c>
      <c r="K764" s="65" t="n">
        <v>49217.41</v>
      </c>
      <c r="L764" s="65" t="n">
        <v>492174.1</v>
      </c>
      <c r="M764" s="66" t="n">
        <f aca="false">DATE(YEAR(B764),MONTH(B764),1)</f>
        <v>45931</v>
      </c>
      <c r="N764" s="35" t="str">
        <f aca="false">IF(G764="","Unknown",G764)</f>
        <v>Bengaluru</v>
      </c>
      <c r="O764" s="35" t="str">
        <f aca="false">IF(E764="","Unknown",IF(E764&lt;=25,"18-25",IF(E764&lt;=35,"26-35",IF(E764&lt;=45,"36-45",IF(E764&lt;=55,"46-55","56-65")))))</f>
        <v>26-35</v>
      </c>
      <c r="P764" s="35" t="n">
        <f aca="false">COUNTIF($C$2:$C$1001,C764)</f>
        <v>2</v>
      </c>
      <c r="Q764" s="35" t="n">
        <f aca="false">IF(COUNTIF($C$2:C764,C764)=1,1,0)</f>
        <v>0</v>
      </c>
    </row>
    <row r="765" customFormat="false" ht="15" hidden="false" customHeight="false" outlineLevel="0" collapsed="false">
      <c r="A765" s="35" t="s">
        <v>2123</v>
      </c>
      <c r="B765" s="64" t="n">
        <v>45843</v>
      </c>
      <c r="C765" s="35" t="s">
        <v>2124</v>
      </c>
      <c r="D765" s="35" t="s">
        <v>960</v>
      </c>
      <c r="E765" s="35" t="n">
        <v>61</v>
      </c>
      <c r="F765" s="35" t="s">
        <v>235</v>
      </c>
      <c r="G765" s="35" t="s">
        <v>219</v>
      </c>
      <c r="H765" s="35" t="s">
        <v>211</v>
      </c>
      <c r="I765" s="35" t="s">
        <v>202</v>
      </c>
      <c r="J765" s="35" t="n">
        <v>2</v>
      </c>
      <c r="K765" s="65" t="n">
        <v>36631.23</v>
      </c>
      <c r="L765" s="65" t="n">
        <v>73262.46</v>
      </c>
      <c r="M765" s="66" t="n">
        <f aca="false">DATE(YEAR(B765),MONTH(B765),1)</f>
        <v>45839</v>
      </c>
      <c r="N765" s="35" t="str">
        <f aca="false">IF(G765="","Unknown",G765)</f>
        <v>Mumbai</v>
      </c>
      <c r="O765" s="35" t="str">
        <f aca="false">IF(E765="","Unknown",IF(E765&lt;=25,"18-25",IF(E765&lt;=35,"26-35",IF(E765&lt;=45,"36-45",IF(E765&lt;=55,"46-55","56-65")))))</f>
        <v>56-65</v>
      </c>
      <c r="P765" s="35" t="n">
        <f aca="false">COUNTIF($C$2:$C$1001,C765)</f>
        <v>1</v>
      </c>
      <c r="Q765" s="35" t="n">
        <f aca="false">IF(COUNTIF($C$2:C765,C765)=1,1,0)</f>
        <v>1</v>
      </c>
    </row>
    <row r="766" customFormat="false" ht="15" hidden="false" customHeight="false" outlineLevel="0" collapsed="false">
      <c r="A766" s="35" t="s">
        <v>2125</v>
      </c>
      <c r="B766" s="64" t="n">
        <v>45832</v>
      </c>
      <c r="C766" s="35" t="s">
        <v>2126</v>
      </c>
      <c r="D766" s="35" t="s">
        <v>722</v>
      </c>
      <c r="E766" s="35" t="n">
        <v>43</v>
      </c>
      <c r="F766" s="35" t="s">
        <v>235</v>
      </c>
      <c r="G766" s="35" t="s">
        <v>216</v>
      </c>
      <c r="H766" s="35" t="s">
        <v>212</v>
      </c>
      <c r="I766" s="35" t="s">
        <v>203</v>
      </c>
      <c r="J766" s="35" t="n">
        <v>3</v>
      </c>
      <c r="K766" s="65" t="n">
        <v>5550.25</v>
      </c>
      <c r="L766" s="65" t="n">
        <v>16650.75</v>
      </c>
      <c r="M766" s="66" t="n">
        <f aca="false">DATE(YEAR(B766),MONTH(B766),1)</f>
        <v>45809</v>
      </c>
      <c r="N766" s="35" t="str">
        <f aca="false">IF(G766="","Unknown",G766)</f>
        <v>Patna</v>
      </c>
      <c r="O766" s="35" t="str">
        <f aca="false">IF(E766="","Unknown",IF(E766&lt;=25,"18-25",IF(E766&lt;=35,"26-35",IF(E766&lt;=45,"36-45",IF(E766&lt;=55,"46-55","56-65")))))</f>
        <v>36-45</v>
      </c>
      <c r="P766" s="35" t="n">
        <f aca="false">COUNTIF($C$2:$C$1001,C766)</f>
        <v>1</v>
      </c>
      <c r="Q766" s="35" t="n">
        <f aca="false">IF(COUNTIF($C$2:C766,C766)=1,1,0)</f>
        <v>1</v>
      </c>
    </row>
    <row r="767" customFormat="false" ht="15" hidden="false" customHeight="false" outlineLevel="0" collapsed="false">
      <c r="A767" s="35" t="s">
        <v>2127</v>
      </c>
      <c r="B767" s="64" t="n">
        <v>45747</v>
      </c>
      <c r="C767" s="35" t="s">
        <v>2128</v>
      </c>
      <c r="D767" s="35" t="s">
        <v>839</v>
      </c>
      <c r="E767" s="35" t="n">
        <v>43</v>
      </c>
      <c r="F767" s="35" t="s">
        <v>234</v>
      </c>
      <c r="G767" s="35" t="s">
        <v>220</v>
      </c>
      <c r="H767" s="35" t="s">
        <v>209</v>
      </c>
      <c r="I767" s="35" t="s">
        <v>200</v>
      </c>
      <c r="J767" s="35" t="n">
        <v>1</v>
      </c>
      <c r="K767" s="65" t="n">
        <v>12225.22</v>
      </c>
      <c r="L767" s="65" t="n">
        <v>12225.22</v>
      </c>
      <c r="M767" s="66" t="n">
        <f aca="false">DATE(YEAR(B767),MONTH(B767),1)</f>
        <v>45717</v>
      </c>
      <c r="N767" s="35" t="str">
        <f aca="false">IF(G767="","Unknown",G767)</f>
        <v>Hyderabad</v>
      </c>
      <c r="O767" s="35" t="str">
        <f aca="false">IF(E767="","Unknown",IF(E767&lt;=25,"18-25",IF(E767&lt;=35,"26-35",IF(E767&lt;=45,"36-45",IF(E767&lt;=55,"46-55","56-65")))))</f>
        <v>36-45</v>
      </c>
      <c r="P767" s="35" t="n">
        <f aca="false">COUNTIF($C$2:$C$1001,C767)</f>
        <v>1</v>
      </c>
      <c r="Q767" s="35" t="n">
        <f aca="false">IF(COUNTIF($C$2:C767,C767)=1,1,0)</f>
        <v>1</v>
      </c>
    </row>
    <row r="768" customFormat="false" ht="15" hidden="false" customHeight="false" outlineLevel="0" collapsed="false">
      <c r="A768" s="35" t="s">
        <v>2129</v>
      </c>
      <c r="B768" s="64" t="n">
        <v>45786</v>
      </c>
      <c r="C768" s="35" t="s">
        <v>2130</v>
      </c>
      <c r="D768" s="35" t="s">
        <v>1173</v>
      </c>
      <c r="E768" s="35" t="n">
        <v>30</v>
      </c>
      <c r="F768" s="35" t="s">
        <v>235</v>
      </c>
      <c r="G768" s="35" t="s">
        <v>218</v>
      </c>
      <c r="H768" s="35" t="s">
        <v>209</v>
      </c>
      <c r="I768" s="35" t="s">
        <v>200</v>
      </c>
      <c r="J768" s="35" t="n">
        <v>10</v>
      </c>
      <c r="K768" s="65" t="n">
        <v>19819.95</v>
      </c>
      <c r="L768" s="65" t="n">
        <v>198199.5</v>
      </c>
      <c r="M768" s="66" t="n">
        <f aca="false">DATE(YEAR(B768),MONTH(B768),1)</f>
        <v>45778</v>
      </c>
      <c r="N768" s="35" t="str">
        <f aca="false">IF(G768="","Unknown",G768)</f>
        <v>Bengaluru</v>
      </c>
      <c r="O768" s="35" t="str">
        <f aca="false">IF(E768="","Unknown",IF(E768&lt;=25,"18-25",IF(E768&lt;=35,"26-35",IF(E768&lt;=45,"36-45",IF(E768&lt;=55,"46-55","56-65")))))</f>
        <v>26-35</v>
      </c>
      <c r="P768" s="35" t="n">
        <f aca="false">COUNTIF($C$2:$C$1001,C768)</f>
        <v>1</v>
      </c>
      <c r="Q768" s="35" t="n">
        <f aca="false">IF(COUNTIF($C$2:C768,C768)=1,1,0)</f>
        <v>1</v>
      </c>
    </row>
    <row r="769" customFormat="false" ht="15" hidden="false" customHeight="false" outlineLevel="0" collapsed="false">
      <c r="A769" s="35" t="s">
        <v>2131</v>
      </c>
      <c r="B769" s="64" t="n">
        <v>45940</v>
      </c>
      <c r="C769" s="35" t="s">
        <v>2132</v>
      </c>
      <c r="D769" s="35" t="s">
        <v>1509</v>
      </c>
      <c r="E769" s="35" t="n">
        <v>23</v>
      </c>
      <c r="F769" s="35" t="s">
        <v>234</v>
      </c>
      <c r="G769" s="35" t="s">
        <v>222</v>
      </c>
      <c r="H769" s="35" t="s">
        <v>208</v>
      </c>
      <c r="I769" s="35" t="s">
        <v>200</v>
      </c>
      <c r="J769" s="35" t="n">
        <v>1</v>
      </c>
      <c r="K769" s="65" t="n">
        <v>42736.43</v>
      </c>
      <c r="L769" s="65" t="n">
        <v>42736.43</v>
      </c>
      <c r="M769" s="66" t="n">
        <f aca="false">DATE(YEAR(B769),MONTH(B769),1)</f>
        <v>45931</v>
      </c>
      <c r="N769" s="35" t="str">
        <f aca="false">IF(G769="","Unknown",G769)</f>
        <v>Pune</v>
      </c>
      <c r="O769" s="35" t="str">
        <f aca="false">IF(E769="","Unknown",IF(E769&lt;=25,"18-25",IF(E769&lt;=35,"26-35",IF(E769&lt;=45,"36-45",IF(E769&lt;=55,"46-55","56-65")))))</f>
        <v>18-25</v>
      </c>
      <c r="P769" s="35" t="n">
        <f aca="false">COUNTIF($C$2:$C$1001,C769)</f>
        <v>1</v>
      </c>
      <c r="Q769" s="35" t="n">
        <f aca="false">IF(COUNTIF($C$2:C769,C769)=1,1,0)</f>
        <v>1</v>
      </c>
    </row>
    <row r="770" customFormat="false" ht="15" hidden="false" customHeight="false" outlineLevel="0" collapsed="false">
      <c r="A770" s="35" t="s">
        <v>2133</v>
      </c>
      <c r="B770" s="64" t="n">
        <v>45665</v>
      </c>
      <c r="C770" s="35" t="s">
        <v>2134</v>
      </c>
      <c r="D770" s="35" t="s">
        <v>2135</v>
      </c>
      <c r="E770" s="35" t="n">
        <v>27</v>
      </c>
      <c r="F770" s="35" t="s">
        <v>234</v>
      </c>
      <c r="G770" s="35" t="s">
        <v>218</v>
      </c>
      <c r="H770" s="35" t="s">
        <v>212</v>
      </c>
      <c r="I770" s="35" t="s">
        <v>203</v>
      </c>
      <c r="J770" s="35" t="n">
        <v>2</v>
      </c>
      <c r="K770" s="65" t="n">
        <v>36426.05</v>
      </c>
      <c r="L770" s="65" t="n">
        <v>72852.1</v>
      </c>
      <c r="M770" s="66" t="n">
        <f aca="false">DATE(YEAR(B770),MONTH(B770),1)</f>
        <v>45658</v>
      </c>
      <c r="N770" s="35" t="str">
        <f aca="false">IF(G770="","Unknown",G770)</f>
        <v>Bengaluru</v>
      </c>
      <c r="O770" s="35" t="str">
        <f aca="false">IF(E770="","Unknown",IF(E770&lt;=25,"18-25",IF(E770&lt;=35,"26-35",IF(E770&lt;=45,"36-45",IF(E770&lt;=55,"46-55","56-65")))))</f>
        <v>26-35</v>
      </c>
      <c r="P770" s="35" t="n">
        <f aca="false">COUNTIF($C$2:$C$1001,C770)</f>
        <v>1</v>
      </c>
      <c r="Q770" s="35" t="n">
        <f aca="false">IF(COUNTIF($C$2:C770,C770)=1,1,0)</f>
        <v>1</v>
      </c>
    </row>
    <row r="771" customFormat="false" ht="15" hidden="false" customHeight="false" outlineLevel="0" collapsed="false">
      <c r="A771" s="35" t="s">
        <v>2136</v>
      </c>
      <c r="B771" s="64" t="n">
        <v>45961</v>
      </c>
      <c r="C771" s="35" t="s">
        <v>2137</v>
      </c>
      <c r="D771" s="35" t="s">
        <v>2138</v>
      </c>
      <c r="E771" s="35" t="n">
        <v>29</v>
      </c>
      <c r="F771" s="35" t="s">
        <v>235</v>
      </c>
      <c r="G771" s="35" t="s">
        <v>221</v>
      </c>
      <c r="H771" s="35" t="s">
        <v>213</v>
      </c>
      <c r="I771" s="35" t="s">
        <v>204</v>
      </c>
      <c r="J771" s="35" t="n">
        <v>1</v>
      </c>
      <c r="K771" s="65" t="n">
        <v>12121.61</v>
      </c>
      <c r="L771" s="65" t="n">
        <v>12121.61</v>
      </c>
      <c r="M771" s="66" t="n">
        <f aca="false">DATE(YEAR(B771),MONTH(B771),1)</f>
        <v>45931</v>
      </c>
      <c r="N771" s="35" t="str">
        <f aca="false">IF(G771="","Unknown",G771)</f>
        <v>Delhi</v>
      </c>
      <c r="O771" s="35" t="str">
        <f aca="false">IF(E771="","Unknown",IF(E771&lt;=25,"18-25",IF(E771&lt;=35,"26-35",IF(E771&lt;=45,"36-45",IF(E771&lt;=55,"46-55","56-65")))))</f>
        <v>26-35</v>
      </c>
      <c r="P771" s="35" t="n">
        <f aca="false">COUNTIF($C$2:$C$1001,C771)</f>
        <v>1</v>
      </c>
      <c r="Q771" s="35" t="n">
        <f aca="false">IF(COUNTIF($C$2:C771,C771)=1,1,0)</f>
        <v>1</v>
      </c>
    </row>
    <row r="772" customFormat="false" ht="15" hidden="false" customHeight="false" outlineLevel="0" collapsed="false">
      <c r="A772" s="35" t="s">
        <v>2139</v>
      </c>
      <c r="B772" s="64" t="n">
        <v>45946</v>
      </c>
      <c r="C772" s="35" t="s">
        <v>2140</v>
      </c>
      <c r="D772" s="35" t="s">
        <v>2107</v>
      </c>
      <c r="E772" s="35" t="n">
        <v>65</v>
      </c>
      <c r="F772" s="35" t="s">
        <v>234</v>
      </c>
      <c r="G772" s="35" t="s">
        <v>217</v>
      </c>
      <c r="H772" s="35" t="s">
        <v>211</v>
      </c>
      <c r="I772" s="35" t="s">
        <v>202</v>
      </c>
      <c r="J772" s="35" t="n">
        <v>5</v>
      </c>
      <c r="K772" s="65" t="n">
        <v>11824.36</v>
      </c>
      <c r="L772" s="65" t="n">
        <v>59121.8</v>
      </c>
      <c r="M772" s="66" t="n">
        <f aca="false">DATE(YEAR(B772),MONTH(B772),1)</f>
        <v>45931</v>
      </c>
      <c r="N772" s="35" t="str">
        <f aca="false">IF(G772="","Unknown",G772)</f>
        <v>Kolkata</v>
      </c>
      <c r="O772" s="35" t="str">
        <f aca="false">IF(E772="","Unknown",IF(E772&lt;=25,"18-25",IF(E772&lt;=35,"26-35",IF(E772&lt;=45,"36-45",IF(E772&lt;=55,"46-55","56-65")))))</f>
        <v>56-65</v>
      </c>
      <c r="P772" s="35" t="n">
        <f aca="false">COUNTIF($C$2:$C$1001,C772)</f>
        <v>1</v>
      </c>
      <c r="Q772" s="35" t="n">
        <f aca="false">IF(COUNTIF($C$2:C772,C772)=1,1,0)</f>
        <v>1</v>
      </c>
    </row>
    <row r="773" customFormat="false" ht="15" hidden="false" customHeight="false" outlineLevel="0" collapsed="false">
      <c r="A773" s="35" t="s">
        <v>2141</v>
      </c>
      <c r="B773" s="64" t="n">
        <v>45771</v>
      </c>
      <c r="C773" s="35" t="s">
        <v>2142</v>
      </c>
      <c r="D773" s="35" t="s">
        <v>543</v>
      </c>
      <c r="E773" s="35" t="n">
        <v>60</v>
      </c>
      <c r="F773" s="35" t="s">
        <v>234</v>
      </c>
      <c r="G773" s="35" t="s">
        <v>220</v>
      </c>
      <c r="H773" s="35" t="s">
        <v>209</v>
      </c>
      <c r="I773" s="35" t="s">
        <v>200</v>
      </c>
      <c r="J773" s="35" t="n">
        <v>4</v>
      </c>
      <c r="K773" s="65" t="n">
        <v>988.45</v>
      </c>
      <c r="L773" s="65" t="n">
        <v>3953.8</v>
      </c>
      <c r="M773" s="66" t="n">
        <f aca="false">DATE(YEAR(B773),MONTH(B773),1)</f>
        <v>45748</v>
      </c>
      <c r="N773" s="35" t="str">
        <f aca="false">IF(G773="","Unknown",G773)</f>
        <v>Hyderabad</v>
      </c>
      <c r="O773" s="35" t="str">
        <f aca="false">IF(E773="","Unknown",IF(E773&lt;=25,"18-25",IF(E773&lt;=35,"26-35",IF(E773&lt;=45,"36-45",IF(E773&lt;=55,"46-55","56-65")))))</f>
        <v>56-65</v>
      </c>
      <c r="P773" s="35" t="n">
        <f aca="false">COUNTIF($C$2:$C$1001,C773)</f>
        <v>1</v>
      </c>
      <c r="Q773" s="35" t="n">
        <f aca="false">IF(COUNTIF($C$2:C773,C773)=1,1,0)</f>
        <v>1</v>
      </c>
    </row>
    <row r="774" customFormat="false" ht="15" hidden="false" customHeight="false" outlineLevel="0" collapsed="false">
      <c r="A774" s="35" t="s">
        <v>2143</v>
      </c>
      <c r="B774" s="64" t="n">
        <v>45936</v>
      </c>
      <c r="C774" s="35" t="s">
        <v>2144</v>
      </c>
      <c r="D774" s="35" t="s">
        <v>538</v>
      </c>
      <c r="E774" s="35" t="n">
        <v>43</v>
      </c>
      <c r="F774" s="35" t="s">
        <v>234</v>
      </c>
      <c r="G774" s="35" t="s">
        <v>216</v>
      </c>
      <c r="H774" s="35" t="s">
        <v>209</v>
      </c>
      <c r="I774" s="35" t="s">
        <v>200</v>
      </c>
      <c r="J774" s="35" t="n">
        <v>7</v>
      </c>
      <c r="K774" s="65" t="n">
        <v>13263.83</v>
      </c>
      <c r="L774" s="65" t="n">
        <v>92846.81</v>
      </c>
      <c r="M774" s="66" t="n">
        <f aca="false">DATE(YEAR(B774),MONTH(B774),1)</f>
        <v>45931</v>
      </c>
      <c r="N774" s="35" t="str">
        <f aca="false">IF(G774="","Unknown",G774)</f>
        <v>Patna</v>
      </c>
      <c r="O774" s="35" t="str">
        <f aca="false">IF(E774="","Unknown",IF(E774&lt;=25,"18-25",IF(E774&lt;=35,"26-35",IF(E774&lt;=45,"36-45",IF(E774&lt;=55,"46-55","56-65")))))</f>
        <v>36-45</v>
      </c>
      <c r="P774" s="35" t="n">
        <f aca="false">COUNTIF($C$2:$C$1001,C774)</f>
        <v>1</v>
      </c>
      <c r="Q774" s="35" t="n">
        <f aca="false">IF(COUNTIF($C$2:C774,C774)=1,1,0)</f>
        <v>1</v>
      </c>
    </row>
    <row r="775" customFormat="false" ht="15" hidden="false" customHeight="false" outlineLevel="0" collapsed="false">
      <c r="A775" s="35" t="s">
        <v>2145</v>
      </c>
      <c r="B775" s="64" t="n">
        <v>45667</v>
      </c>
      <c r="C775" s="35" t="s">
        <v>2146</v>
      </c>
      <c r="D775" s="35" t="s">
        <v>1084</v>
      </c>
      <c r="E775" s="35" t="n">
        <v>38</v>
      </c>
      <c r="F775" s="35" t="s">
        <v>235</v>
      </c>
      <c r="G775" s="35" t="s">
        <v>218</v>
      </c>
      <c r="H775" s="35" t="s">
        <v>210</v>
      </c>
      <c r="I775" s="35" t="s">
        <v>201</v>
      </c>
      <c r="J775" s="35" t="n">
        <v>6</v>
      </c>
      <c r="K775" s="65" t="n">
        <v>35023.55</v>
      </c>
      <c r="L775" s="65" t="n">
        <v>210141.3</v>
      </c>
      <c r="M775" s="66" t="n">
        <f aca="false">DATE(YEAR(B775),MONTH(B775),1)</f>
        <v>45658</v>
      </c>
      <c r="N775" s="35" t="str">
        <f aca="false">IF(G775="","Unknown",G775)</f>
        <v>Bengaluru</v>
      </c>
      <c r="O775" s="35" t="str">
        <f aca="false">IF(E775="","Unknown",IF(E775&lt;=25,"18-25",IF(E775&lt;=35,"26-35",IF(E775&lt;=45,"36-45",IF(E775&lt;=55,"46-55","56-65")))))</f>
        <v>36-45</v>
      </c>
      <c r="P775" s="35" t="n">
        <f aca="false">COUNTIF($C$2:$C$1001,C775)</f>
        <v>1</v>
      </c>
      <c r="Q775" s="35" t="n">
        <f aca="false">IF(COUNTIF($C$2:C775,C775)=1,1,0)</f>
        <v>1</v>
      </c>
    </row>
    <row r="776" customFormat="false" ht="15" hidden="false" customHeight="false" outlineLevel="0" collapsed="false">
      <c r="A776" s="35" t="s">
        <v>2147</v>
      </c>
      <c r="B776" s="64" t="n">
        <v>45847</v>
      </c>
      <c r="C776" s="35" t="s">
        <v>2148</v>
      </c>
      <c r="D776" s="35" t="s">
        <v>1147</v>
      </c>
      <c r="E776" s="35" t="n">
        <v>32</v>
      </c>
      <c r="F776" s="35" t="s">
        <v>235</v>
      </c>
      <c r="G776" s="35" t="s">
        <v>223</v>
      </c>
      <c r="H776" s="35" t="s">
        <v>212</v>
      </c>
      <c r="I776" s="35" t="s">
        <v>203</v>
      </c>
      <c r="J776" s="35" t="n">
        <v>10</v>
      </c>
      <c r="K776" s="65" t="n">
        <v>8630.9</v>
      </c>
      <c r="L776" s="65" t="n">
        <v>86309</v>
      </c>
      <c r="M776" s="66" t="n">
        <f aca="false">DATE(YEAR(B776),MONTH(B776),1)</f>
        <v>45839</v>
      </c>
      <c r="N776" s="35" t="str">
        <f aca="false">IF(G776="","Unknown",G776)</f>
        <v>Gaya</v>
      </c>
      <c r="O776" s="35" t="str">
        <f aca="false">IF(E776="","Unknown",IF(E776&lt;=25,"18-25",IF(E776&lt;=35,"26-35",IF(E776&lt;=45,"36-45",IF(E776&lt;=55,"46-55","56-65")))))</f>
        <v>26-35</v>
      </c>
      <c r="P776" s="35" t="n">
        <f aca="false">COUNTIF($C$2:$C$1001,C776)</f>
        <v>1</v>
      </c>
      <c r="Q776" s="35" t="n">
        <f aca="false">IF(COUNTIF($C$2:C776,C776)=1,1,0)</f>
        <v>1</v>
      </c>
    </row>
    <row r="777" customFormat="false" ht="15" hidden="false" customHeight="false" outlineLevel="0" collapsed="false">
      <c r="A777" s="35" t="s">
        <v>2149</v>
      </c>
      <c r="B777" s="64" t="n">
        <v>45704</v>
      </c>
      <c r="C777" s="35" t="s">
        <v>2150</v>
      </c>
      <c r="D777" s="35" t="s">
        <v>641</v>
      </c>
      <c r="E777" s="35" t="n">
        <v>45</v>
      </c>
      <c r="F777" s="35" t="s">
        <v>235</v>
      </c>
      <c r="G777" s="35" t="s">
        <v>216</v>
      </c>
      <c r="H777" s="35" t="s">
        <v>209</v>
      </c>
      <c r="I777" s="35" t="s">
        <v>200</v>
      </c>
      <c r="J777" s="35" t="n">
        <v>6</v>
      </c>
      <c r="K777" s="65" t="n">
        <v>29757.58</v>
      </c>
      <c r="L777" s="65" t="n">
        <v>178545.48</v>
      </c>
      <c r="M777" s="66" t="n">
        <f aca="false">DATE(YEAR(B777),MONTH(B777),1)</f>
        <v>45689</v>
      </c>
      <c r="N777" s="35" t="str">
        <f aca="false">IF(G777="","Unknown",G777)</f>
        <v>Patna</v>
      </c>
      <c r="O777" s="35" t="str">
        <f aca="false">IF(E777="","Unknown",IF(E777&lt;=25,"18-25",IF(E777&lt;=35,"26-35",IF(E777&lt;=45,"36-45",IF(E777&lt;=55,"46-55","56-65")))))</f>
        <v>36-45</v>
      </c>
      <c r="P777" s="35" t="n">
        <f aca="false">COUNTIF($C$2:$C$1001,C777)</f>
        <v>1</v>
      </c>
      <c r="Q777" s="35" t="n">
        <f aca="false">IF(COUNTIF($C$2:C777,C777)=1,1,0)</f>
        <v>1</v>
      </c>
    </row>
    <row r="778" customFormat="false" ht="15" hidden="false" customHeight="false" outlineLevel="0" collapsed="false">
      <c r="A778" s="35" t="s">
        <v>2151</v>
      </c>
      <c r="B778" s="64" t="n">
        <v>45995</v>
      </c>
      <c r="C778" s="35" t="s">
        <v>1218</v>
      </c>
      <c r="D778" s="35" t="s">
        <v>1185</v>
      </c>
      <c r="E778" s="35" t="n">
        <v>57</v>
      </c>
      <c r="F778" s="35" t="s">
        <v>234</v>
      </c>
      <c r="G778" s="35" t="s">
        <v>220</v>
      </c>
      <c r="H778" s="35" t="s">
        <v>212</v>
      </c>
      <c r="I778" s="35" t="s">
        <v>203</v>
      </c>
      <c r="J778" s="35" t="n">
        <v>2</v>
      </c>
      <c r="K778" s="65" t="n">
        <v>45538.2</v>
      </c>
      <c r="L778" s="65" t="n">
        <v>91076.4</v>
      </c>
      <c r="M778" s="66" t="n">
        <f aca="false">DATE(YEAR(B778),MONTH(B778),1)</f>
        <v>45992</v>
      </c>
      <c r="N778" s="35" t="str">
        <f aca="false">IF(G778="","Unknown",G778)</f>
        <v>Hyderabad</v>
      </c>
      <c r="O778" s="35" t="str">
        <f aca="false">IF(E778="","Unknown",IF(E778&lt;=25,"18-25",IF(E778&lt;=35,"26-35",IF(E778&lt;=45,"36-45",IF(E778&lt;=55,"46-55","56-65")))))</f>
        <v>56-65</v>
      </c>
      <c r="P778" s="35" t="n">
        <f aca="false">COUNTIF($C$2:$C$1001,C778)</f>
        <v>2</v>
      </c>
      <c r="Q778" s="35" t="n">
        <f aca="false">IF(COUNTIF($C$2:C778,C778)=1,1,0)</f>
        <v>0</v>
      </c>
    </row>
    <row r="779" customFormat="false" ht="15" hidden="false" customHeight="false" outlineLevel="0" collapsed="false">
      <c r="A779" s="35" t="s">
        <v>2152</v>
      </c>
      <c r="B779" s="64" t="n">
        <v>45765</v>
      </c>
      <c r="C779" s="35" t="s">
        <v>2153</v>
      </c>
      <c r="D779" s="35" t="s">
        <v>2154</v>
      </c>
      <c r="E779" s="35" t="n">
        <v>38</v>
      </c>
      <c r="F779" s="35" t="s">
        <v>234</v>
      </c>
      <c r="G779" s="35" t="s">
        <v>220</v>
      </c>
      <c r="H779" s="35" t="s">
        <v>212</v>
      </c>
      <c r="I779" s="35" t="s">
        <v>203</v>
      </c>
      <c r="J779" s="35" t="n">
        <v>6</v>
      </c>
      <c r="K779" s="65" t="n">
        <v>19454.75</v>
      </c>
      <c r="L779" s="65" t="n">
        <v>116728.5</v>
      </c>
      <c r="M779" s="66" t="n">
        <f aca="false">DATE(YEAR(B779),MONTH(B779),1)</f>
        <v>45748</v>
      </c>
      <c r="N779" s="35" t="str">
        <f aca="false">IF(G779="","Unknown",G779)</f>
        <v>Hyderabad</v>
      </c>
      <c r="O779" s="35" t="str">
        <f aca="false">IF(E779="","Unknown",IF(E779&lt;=25,"18-25",IF(E779&lt;=35,"26-35",IF(E779&lt;=45,"36-45",IF(E779&lt;=55,"46-55","56-65")))))</f>
        <v>36-45</v>
      </c>
      <c r="P779" s="35" t="n">
        <f aca="false">COUNTIF($C$2:$C$1001,C779)</f>
        <v>1</v>
      </c>
      <c r="Q779" s="35" t="n">
        <f aca="false">IF(COUNTIF($C$2:C779,C779)=1,1,0)</f>
        <v>1</v>
      </c>
    </row>
    <row r="780" customFormat="false" ht="15" hidden="false" customHeight="false" outlineLevel="0" collapsed="false">
      <c r="A780" s="35" t="s">
        <v>2155</v>
      </c>
      <c r="B780" s="64" t="n">
        <v>45867</v>
      </c>
      <c r="C780" s="35" t="s">
        <v>2156</v>
      </c>
      <c r="D780" s="35" t="s">
        <v>2157</v>
      </c>
      <c r="E780" s="35" t="n">
        <v>56</v>
      </c>
      <c r="F780" s="35" t="s">
        <v>234</v>
      </c>
      <c r="G780" s="35" t="s">
        <v>219</v>
      </c>
      <c r="H780" s="35" t="s">
        <v>212</v>
      </c>
      <c r="I780" s="35" t="s">
        <v>203</v>
      </c>
      <c r="J780" s="35" t="n">
        <v>3</v>
      </c>
      <c r="K780" s="65" t="n">
        <v>21435.84</v>
      </c>
      <c r="L780" s="65" t="n">
        <v>64307.52</v>
      </c>
      <c r="M780" s="66" t="n">
        <f aca="false">DATE(YEAR(B780),MONTH(B780),1)</f>
        <v>45839</v>
      </c>
      <c r="N780" s="35" t="str">
        <f aca="false">IF(G780="","Unknown",G780)</f>
        <v>Mumbai</v>
      </c>
      <c r="O780" s="35" t="str">
        <f aca="false">IF(E780="","Unknown",IF(E780&lt;=25,"18-25",IF(E780&lt;=35,"26-35",IF(E780&lt;=45,"36-45",IF(E780&lt;=55,"46-55","56-65")))))</f>
        <v>56-65</v>
      </c>
      <c r="P780" s="35" t="n">
        <f aca="false">COUNTIF($C$2:$C$1001,C780)</f>
        <v>1</v>
      </c>
      <c r="Q780" s="35" t="n">
        <f aca="false">IF(COUNTIF($C$2:C780,C780)=1,1,0)</f>
        <v>1</v>
      </c>
    </row>
    <row r="781" customFormat="false" ht="15" hidden="false" customHeight="false" outlineLevel="0" collapsed="false">
      <c r="A781" s="35" t="s">
        <v>2158</v>
      </c>
      <c r="B781" s="64" t="n">
        <v>45709</v>
      </c>
      <c r="C781" s="35" t="s">
        <v>2159</v>
      </c>
      <c r="D781" s="35" t="s">
        <v>1283</v>
      </c>
      <c r="E781" s="35" t="n">
        <v>51</v>
      </c>
      <c r="F781" s="35" t="s">
        <v>234</v>
      </c>
      <c r="G781" s="35" t="s">
        <v>216</v>
      </c>
      <c r="H781" s="35" t="s">
        <v>208</v>
      </c>
      <c r="I781" s="35" t="s">
        <v>200</v>
      </c>
      <c r="J781" s="35" t="n">
        <v>1</v>
      </c>
      <c r="K781" s="65" t="n">
        <v>47618.43</v>
      </c>
      <c r="L781" s="65" t="n">
        <v>47618.43</v>
      </c>
      <c r="M781" s="66" t="n">
        <f aca="false">DATE(YEAR(B781),MONTH(B781),1)</f>
        <v>45689</v>
      </c>
      <c r="N781" s="35" t="str">
        <f aca="false">IF(G781="","Unknown",G781)</f>
        <v>Patna</v>
      </c>
      <c r="O781" s="35" t="str">
        <f aca="false">IF(E781="","Unknown",IF(E781&lt;=25,"18-25",IF(E781&lt;=35,"26-35",IF(E781&lt;=45,"36-45",IF(E781&lt;=55,"46-55","56-65")))))</f>
        <v>46-55</v>
      </c>
      <c r="P781" s="35" t="n">
        <f aca="false">COUNTIF($C$2:$C$1001,C781)</f>
        <v>1</v>
      </c>
      <c r="Q781" s="35" t="n">
        <f aca="false">IF(COUNTIF($C$2:C781,C781)=1,1,0)</f>
        <v>1</v>
      </c>
    </row>
    <row r="782" customFormat="false" ht="15" hidden="false" customHeight="false" outlineLevel="0" collapsed="false">
      <c r="A782" s="35" t="s">
        <v>2160</v>
      </c>
      <c r="B782" s="64" t="n">
        <v>46014</v>
      </c>
      <c r="C782" s="35" t="s">
        <v>2161</v>
      </c>
      <c r="D782" s="35" t="s">
        <v>991</v>
      </c>
      <c r="E782" s="35" t="n">
        <v>38</v>
      </c>
      <c r="F782" s="35" t="s">
        <v>234</v>
      </c>
      <c r="G782" s="35" t="s">
        <v>217</v>
      </c>
      <c r="H782" s="35" t="s">
        <v>210</v>
      </c>
      <c r="I782" s="35" t="s">
        <v>201</v>
      </c>
      <c r="J782" s="35" t="n">
        <v>4</v>
      </c>
      <c r="K782" s="65" t="n">
        <v>25110.56</v>
      </c>
      <c r="L782" s="65" t="n">
        <v>100442.24</v>
      </c>
      <c r="M782" s="66" t="n">
        <f aca="false">DATE(YEAR(B782),MONTH(B782),1)</f>
        <v>45992</v>
      </c>
      <c r="N782" s="35" t="str">
        <f aca="false">IF(G782="","Unknown",G782)</f>
        <v>Kolkata</v>
      </c>
      <c r="O782" s="35" t="str">
        <f aca="false">IF(E782="","Unknown",IF(E782&lt;=25,"18-25",IF(E782&lt;=35,"26-35",IF(E782&lt;=45,"36-45",IF(E782&lt;=55,"46-55","56-65")))))</f>
        <v>36-45</v>
      </c>
      <c r="P782" s="35" t="n">
        <f aca="false">COUNTIF($C$2:$C$1001,C782)</f>
        <v>1</v>
      </c>
      <c r="Q782" s="35" t="n">
        <f aca="false">IF(COUNTIF($C$2:C782,C782)=1,1,0)</f>
        <v>1</v>
      </c>
    </row>
    <row r="783" customFormat="false" ht="15" hidden="false" customHeight="false" outlineLevel="0" collapsed="false">
      <c r="A783" s="35" t="s">
        <v>2162</v>
      </c>
      <c r="B783" s="64" t="n">
        <v>45920</v>
      </c>
      <c r="C783" s="35" t="s">
        <v>2163</v>
      </c>
      <c r="D783" s="35" t="s">
        <v>1015</v>
      </c>
      <c r="E783" s="35" t="n">
        <v>65</v>
      </c>
      <c r="F783" s="35" t="s">
        <v>235</v>
      </c>
      <c r="G783" s="35" t="s">
        <v>216</v>
      </c>
      <c r="H783" s="35" t="s">
        <v>210</v>
      </c>
      <c r="I783" s="35" t="s">
        <v>201</v>
      </c>
      <c r="J783" s="35" t="n">
        <v>9</v>
      </c>
      <c r="K783" s="65" t="n">
        <v>797.71</v>
      </c>
      <c r="L783" s="65" t="n">
        <v>7179.39</v>
      </c>
      <c r="M783" s="66" t="n">
        <f aca="false">DATE(YEAR(B783),MONTH(B783),1)</f>
        <v>45901</v>
      </c>
      <c r="N783" s="35" t="str">
        <f aca="false">IF(G783="","Unknown",G783)</f>
        <v>Patna</v>
      </c>
      <c r="O783" s="35" t="str">
        <f aca="false">IF(E783="","Unknown",IF(E783&lt;=25,"18-25",IF(E783&lt;=35,"26-35",IF(E783&lt;=45,"36-45",IF(E783&lt;=55,"46-55","56-65")))))</f>
        <v>56-65</v>
      </c>
      <c r="P783" s="35" t="n">
        <f aca="false">COUNTIF($C$2:$C$1001,C783)</f>
        <v>1</v>
      </c>
      <c r="Q783" s="35" t="n">
        <f aca="false">IF(COUNTIF($C$2:C783,C783)=1,1,0)</f>
        <v>1</v>
      </c>
    </row>
    <row r="784" customFormat="false" ht="15" hidden="false" customHeight="false" outlineLevel="0" collapsed="false">
      <c r="A784" s="35" t="s">
        <v>2164</v>
      </c>
      <c r="B784" s="64" t="n">
        <v>46002</v>
      </c>
      <c r="C784" s="35" t="s">
        <v>2165</v>
      </c>
      <c r="D784" s="35" t="s">
        <v>1283</v>
      </c>
      <c r="E784" s="35" t="n">
        <v>43</v>
      </c>
      <c r="F784" s="35" t="s">
        <v>235</v>
      </c>
      <c r="G784" s="35" t="s">
        <v>222</v>
      </c>
      <c r="H784" s="35" t="s">
        <v>212</v>
      </c>
      <c r="I784" s="35" t="s">
        <v>203</v>
      </c>
      <c r="J784" s="35" t="n">
        <v>3</v>
      </c>
      <c r="K784" s="65" t="n">
        <v>25235.41</v>
      </c>
      <c r="L784" s="65" t="n">
        <v>75706.23</v>
      </c>
      <c r="M784" s="66" t="n">
        <f aca="false">DATE(YEAR(B784),MONTH(B784),1)</f>
        <v>45992</v>
      </c>
      <c r="N784" s="35" t="str">
        <f aca="false">IF(G784="","Unknown",G784)</f>
        <v>Pune</v>
      </c>
      <c r="O784" s="35" t="str">
        <f aca="false">IF(E784="","Unknown",IF(E784&lt;=25,"18-25",IF(E784&lt;=35,"26-35",IF(E784&lt;=45,"36-45",IF(E784&lt;=55,"46-55","56-65")))))</f>
        <v>36-45</v>
      </c>
      <c r="P784" s="35" t="n">
        <f aca="false">COUNTIF($C$2:$C$1001,C784)</f>
        <v>1</v>
      </c>
      <c r="Q784" s="35" t="n">
        <f aca="false">IF(COUNTIF($C$2:C784,C784)=1,1,0)</f>
        <v>1</v>
      </c>
    </row>
    <row r="785" customFormat="false" ht="15" hidden="false" customHeight="false" outlineLevel="0" collapsed="false">
      <c r="A785" s="35" t="s">
        <v>2166</v>
      </c>
      <c r="B785" s="64" t="n">
        <v>45675</v>
      </c>
      <c r="C785" s="35" t="s">
        <v>2167</v>
      </c>
      <c r="D785" s="35" t="s">
        <v>1173</v>
      </c>
      <c r="E785" s="35" t="n">
        <v>50</v>
      </c>
      <c r="F785" s="35" t="s">
        <v>234</v>
      </c>
      <c r="G785" s="35" t="s">
        <v>217</v>
      </c>
      <c r="H785" s="35" t="s">
        <v>210</v>
      </c>
      <c r="I785" s="35" t="s">
        <v>201</v>
      </c>
      <c r="J785" s="35" t="n">
        <v>8</v>
      </c>
      <c r="K785" s="65" t="n">
        <v>43467</v>
      </c>
      <c r="L785" s="65" t="n">
        <v>347736</v>
      </c>
      <c r="M785" s="66" t="n">
        <f aca="false">DATE(YEAR(B785),MONTH(B785),1)</f>
        <v>45658</v>
      </c>
      <c r="N785" s="35" t="str">
        <f aca="false">IF(G785="","Unknown",G785)</f>
        <v>Kolkata</v>
      </c>
      <c r="O785" s="35" t="str">
        <f aca="false">IF(E785="","Unknown",IF(E785&lt;=25,"18-25",IF(E785&lt;=35,"26-35",IF(E785&lt;=45,"36-45",IF(E785&lt;=55,"46-55","56-65")))))</f>
        <v>46-55</v>
      </c>
      <c r="P785" s="35" t="n">
        <f aca="false">COUNTIF($C$2:$C$1001,C785)</f>
        <v>1</v>
      </c>
      <c r="Q785" s="35" t="n">
        <f aca="false">IF(COUNTIF($C$2:C785,C785)=1,1,0)</f>
        <v>1</v>
      </c>
    </row>
    <row r="786" customFormat="false" ht="15" hidden="false" customHeight="false" outlineLevel="0" collapsed="false">
      <c r="A786" s="35" t="s">
        <v>2168</v>
      </c>
      <c r="B786" s="64" t="n">
        <v>45944</v>
      </c>
      <c r="C786" s="35" t="s">
        <v>2169</v>
      </c>
      <c r="D786" s="35" t="s">
        <v>776</v>
      </c>
      <c r="E786" s="35" t="n">
        <v>60</v>
      </c>
      <c r="F786" s="35" t="s">
        <v>235</v>
      </c>
      <c r="G786" s="35" t="s">
        <v>218</v>
      </c>
      <c r="H786" s="35" t="s">
        <v>213</v>
      </c>
      <c r="I786" s="35" t="s">
        <v>204</v>
      </c>
      <c r="J786" s="35" t="n">
        <v>9</v>
      </c>
      <c r="K786" s="65" t="n">
        <v>35691.39</v>
      </c>
      <c r="L786" s="65" t="n">
        <v>321222.51</v>
      </c>
      <c r="M786" s="66" t="n">
        <f aca="false">DATE(YEAR(B786),MONTH(B786),1)</f>
        <v>45931</v>
      </c>
      <c r="N786" s="35" t="str">
        <f aca="false">IF(G786="","Unknown",G786)</f>
        <v>Bengaluru</v>
      </c>
      <c r="O786" s="35" t="str">
        <f aca="false">IF(E786="","Unknown",IF(E786&lt;=25,"18-25",IF(E786&lt;=35,"26-35",IF(E786&lt;=45,"36-45",IF(E786&lt;=55,"46-55","56-65")))))</f>
        <v>56-65</v>
      </c>
      <c r="P786" s="35" t="n">
        <f aca="false">COUNTIF($C$2:$C$1001,C786)</f>
        <v>1</v>
      </c>
      <c r="Q786" s="35" t="n">
        <f aca="false">IF(COUNTIF($C$2:C786,C786)=1,1,0)</f>
        <v>1</v>
      </c>
    </row>
    <row r="787" customFormat="false" ht="15" hidden="false" customHeight="false" outlineLevel="0" collapsed="false">
      <c r="A787" s="35" t="s">
        <v>2170</v>
      </c>
      <c r="B787" s="64" t="n">
        <v>45830</v>
      </c>
      <c r="C787" s="35" t="s">
        <v>2171</v>
      </c>
      <c r="D787" s="35" t="s">
        <v>1677</v>
      </c>
      <c r="E787" s="35" t="n">
        <v>50</v>
      </c>
      <c r="F787" s="35" t="s">
        <v>235</v>
      </c>
      <c r="G787" s="35" t="s">
        <v>223</v>
      </c>
      <c r="H787" s="35" t="s">
        <v>210</v>
      </c>
      <c r="I787" s="35" t="s">
        <v>201</v>
      </c>
      <c r="J787" s="35" t="n">
        <v>6</v>
      </c>
      <c r="K787" s="65" t="n">
        <v>28107.77</v>
      </c>
      <c r="L787" s="65" t="n">
        <v>168646.62</v>
      </c>
      <c r="M787" s="66" t="n">
        <f aca="false">DATE(YEAR(B787),MONTH(B787),1)</f>
        <v>45809</v>
      </c>
      <c r="N787" s="35" t="str">
        <f aca="false">IF(G787="","Unknown",G787)</f>
        <v>Gaya</v>
      </c>
      <c r="O787" s="35" t="str">
        <f aca="false">IF(E787="","Unknown",IF(E787&lt;=25,"18-25",IF(E787&lt;=35,"26-35",IF(E787&lt;=45,"36-45",IF(E787&lt;=55,"46-55","56-65")))))</f>
        <v>46-55</v>
      </c>
      <c r="P787" s="35" t="n">
        <f aca="false">COUNTIF($C$2:$C$1001,C787)</f>
        <v>1</v>
      </c>
      <c r="Q787" s="35" t="n">
        <f aca="false">IF(COUNTIF($C$2:C787,C787)=1,1,0)</f>
        <v>1</v>
      </c>
    </row>
    <row r="788" customFormat="false" ht="15" hidden="false" customHeight="false" outlineLevel="0" collapsed="false">
      <c r="A788" s="35" t="s">
        <v>2172</v>
      </c>
      <c r="B788" s="64" t="n">
        <v>45781</v>
      </c>
      <c r="C788" s="35" t="s">
        <v>2173</v>
      </c>
      <c r="D788" s="35" t="s">
        <v>1942</v>
      </c>
      <c r="E788" s="35" t="n">
        <v>59</v>
      </c>
      <c r="F788" s="35" t="s">
        <v>234</v>
      </c>
      <c r="G788" s="35" t="s">
        <v>217</v>
      </c>
      <c r="H788" s="35" t="s">
        <v>211</v>
      </c>
      <c r="I788" s="35" t="s">
        <v>202</v>
      </c>
      <c r="J788" s="35" t="n">
        <v>6</v>
      </c>
      <c r="K788" s="65" t="n">
        <v>39662.1</v>
      </c>
      <c r="L788" s="65" t="n">
        <v>237972.6</v>
      </c>
      <c r="M788" s="66" t="n">
        <f aca="false">DATE(YEAR(B788),MONTH(B788),1)</f>
        <v>45778</v>
      </c>
      <c r="N788" s="35" t="str">
        <f aca="false">IF(G788="","Unknown",G788)</f>
        <v>Kolkata</v>
      </c>
      <c r="O788" s="35" t="str">
        <f aca="false">IF(E788="","Unknown",IF(E788&lt;=25,"18-25",IF(E788&lt;=35,"26-35",IF(E788&lt;=45,"36-45",IF(E788&lt;=55,"46-55","56-65")))))</f>
        <v>56-65</v>
      </c>
      <c r="P788" s="35" t="n">
        <f aca="false">COUNTIF($C$2:$C$1001,C788)</f>
        <v>1</v>
      </c>
      <c r="Q788" s="35" t="n">
        <f aca="false">IF(COUNTIF($C$2:C788,C788)=1,1,0)</f>
        <v>1</v>
      </c>
    </row>
    <row r="789" customFormat="false" ht="15" hidden="false" customHeight="false" outlineLevel="0" collapsed="false">
      <c r="A789" s="35" t="s">
        <v>2174</v>
      </c>
      <c r="B789" s="64" t="n">
        <v>45851</v>
      </c>
      <c r="C789" s="35" t="s">
        <v>2175</v>
      </c>
      <c r="D789" s="35" t="s">
        <v>1387</v>
      </c>
      <c r="E789" s="35" t="n">
        <v>63</v>
      </c>
      <c r="F789" s="35" t="s">
        <v>235</v>
      </c>
      <c r="G789" s="35" t="s">
        <v>217</v>
      </c>
      <c r="H789" s="35" t="s">
        <v>211</v>
      </c>
      <c r="I789" s="35" t="s">
        <v>202</v>
      </c>
      <c r="J789" s="35" t="n">
        <v>5</v>
      </c>
      <c r="K789" s="65" t="n">
        <v>14533.4</v>
      </c>
      <c r="L789" s="65" t="n">
        <v>72667</v>
      </c>
      <c r="M789" s="66" t="n">
        <f aca="false">DATE(YEAR(B789),MONTH(B789),1)</f>
        <v>45839</v>
      </c>
      <c r="N789" s="35" t="str">
        <f aca="false">IF(G789="","Unknown",G789)</f>
        <v>Kolkata</v>
      </c>
      <c r="O789" s="35" t="str">
        <f aca="false">IF(E789="","Unknown",IF(E789&lt;=25,"18-25",IF(E789&lt;=35,"26-35",IF(E789&lt;=45,"36-45",IF(E789&lt;=55,"46-55","56-65")))))</f>
        <v>56-65</v>
      </c>
      <c r="P789" s="35" t="n">
        <f aca="false">COUNTIF($C$2:$C$1001,C789)</f>
        <v>1</v>
      </c>
      <c r="Q789" s="35" t="n">
        <f aca="false">IF(COUNTIF($C$2:C789,C789)=1,1,0)</f>
        <v>1</v>
      </c>
    </row>
    <row r="790" customFormat="false" ht="15" hidden="false" customHeight="false" outlineLevel="0" collapsed="false">
      <c r="A790" s="35" t="s">
        <v>2176</v>
      </c>
      <c r="B790" s="64" t="n">
        <v>46019</v>
      </c>
      <c r="C790" s="35" t="s">
        <v>2177</v>
      </c>
      <c r="D790" s="35" t="s">
        <v>2178</v>
      </c>
      <c r="E790" s="35" t="n">
        <v>55</v>
      </c>
      <c r="F790" s="35" t="s">
        <v>234</v>
      </c>
      <c r="G790" s="35" t="s">
        <v>219</v>
      </c>
      <c r="H790" s="35" t="s">
        <v>210</v>
      </c>
      <c r="I790" s="35" t="s">
        <v>201</v>
      </c>
      <c r="J790" s="35" t="n">
        <v>9</v>
      </c>
      <c r="K790" s="65" t="n">
        <v>12322.26</v>
      </c>
      <c r="L790" s="65" t="n">
        <v>110900.34</v>
      </c>
      <c r="M790" s="66" t="n">
        <f aca="false">DATE(YEAR(B790),MONTH(B790),1)</f>
        <v>45992</v>
      </c>
      <c r="N790" s="35" t="str">
        <f aca="false">IF(G790="","Unknown",G790)</f>
        <v>Mumbai</v>
      </c>
      <c r="O790" s="35" t="str">
        <f aca="false">IF(E790="","Unknown",IF(E790&lt;=25,"18-25",IF(E790&lt;=35,"26-35",IF(E790&lt;=45,"36-45",IF(E790&lt;=55,"46-55","56-65")))))</f>
        <v>46-55</v>
      </c>
      <c r="P790" s="35" t="n">
        <f aca="false">COUNTIF($C$2:$C$1001,C790)</f>
        <v>1</v>
      </c>
      <c r="Q790" s="35" t="n">
        <f aca="false">IF(COUNTIF($C$2:C790,C790)=1,1,0)</f>
        <v>1</v>
      </c>
    </row>
    <row r="791" customFormat="false" ht="15" hidden="false" customHeight="false" outlineLevel="0" collapsed="false">
      <c r="A791" s="35" t="s">
        <v>2179</v>
      </c>
      <c r="B791" s="64" t="n">
        <v>45903</v>
      </c>
      <c r="C791" s="35" t="s">
        <v>2180</v>
      </c>
      <c r="D791" s="35" t="s">
        <v>299</v>
      </c>
      <c r="E791" s="35" t="n">
        <v>45</v>
      </c>
      <c r="F791" s="35" t="s">
        <v>234</v>
      </c>
      <c r="G791" s="35" t="s">
        <v>219</v>
      </c>
      <c r="H791" s="35" t="s">
        <v>212</v>
      </c>
      <c r="I791" s="35" t="s">
        <v>203</v>
      </c>
      <c r="J791" s="35" t="n">
        <v>10</v>
      </c>
      <c r="K791" s="65" t="n">
        <v>18178.32</v>
      </c>
      <c r="L791" s="65" t="n">
        <v>181783.2</v>
      </c>
      <c r="M791" s="66" t="n">
        <f aca="false">DATE(YEAR(B791),MONTH(B791),1)</f>
        <v>45901</v>
      </c>
      <c r="N791" s="35" t="str">
        <f aca="false">IF(G791="","Unknown",G791)</f>
        <v>Mumbai</v>
      </c>
      <c r="O791" s="35" t="str">
        <f aca="false">IF(E791="","Unknown",IF(E791&lt;=25,"18-25",IF(E791&lt;=35,"26-35",IF(E791&lt;=45,"36-45",IF(E791&lt;=55,"46-55","56-65")))))</f>
        <v>36-45</v>
      </c>
      <c r="P791" s="35" t="n">
        <f aca="false">COUNTIF($C$2:$C$1001,C791)</f>
        <v>1</v>
      </c>
      <c r="Q791" s="35" t="n">
        <f aca="false">IF(COUNTIF($C$2:C791,C791)=1,1,0)</f>
        <v>1</v>
      </c>
    </row>
    <row r="792" customFormat="false" ht="15" hidden="false" customHeight="false" outlineLevel="0" collapsed="false">
      <c r="A792" s="35" t="s">
        <v>2181</v>
      </c>
      <c r="B792" s="64" t="n">
        <v>45798</v>
      </c>
      <c r="C792" s="35" t="s">
        <v>2182</v>
      </c>
      <c r="D792" s="35" t="s">
        <v>403</v>
      </c>
      <c r="E792" s="35" t="n">
        <v>62</v>
      </c>
      <c r="F792" s="35" t="s">
        <v>234</v>
      </c>
      <c r="G792" s="35" t="s">
        <v>218</v>
      </c>
      <c r="H792" s="35" t="s">
        <v>213</v>
      </c>
      <c r="I792" s="35" t="s">
        <v>204</v>
      </c>
      <c r="J792" s="35" t="n">
        <v>9</v>
      </c>
      <c r="K792" s="65" t="n">
        <v>6282.93</v>
      </c>
      <c r="L792" s="65" t="n">
        <v>56546.37</v>
      </c>
      <c r="M792" s="66" t="n">
        <f aca="false">DATE(YEAR(B792),MONTH(B792),1)</f>
        <v>45778</v>
      </c>
      <c r="N792" s="35" t="str">
        <f aca="false">IF(G792="","Unknown",G792)</f>
        <v>Bengaluru</v>
      </c>
      <c r="O792" s="35" t="str">
        <f aca="false">IF(E792="","Unknown",IF(E792&lt;=25,"18-25",IF(E792&lt;=35,"26-35",IF(E792&lt;=45,"36-45",IF(E792&lt;=55,"46-55","56-65")))))</f>
        <v>56-65</v>
      </c>
      <c r="P792" s="35" t="n">
        <f aca="false">COUNTIF($C$2:$C$1001,C792)</f>
        <v>1</v>
      </c>
      <c r="Q792" s="35" t="n">
        <f aca="false">IF(COUNTIF($C$2:C792,C792)=1,1,0)</f>
        <v>1</v>
      </c>
    </row>
    <row r="793" customFormat="false" ht="15" hidden="false" customHeight="false" outlineLevel="0" collapsed="false">
      <c r="A793" s="35" t="s">
        <v>2183</v>
      </c>
      <c r="B793" s="64" t="n">
        <v>46002</v>
      </c>
      <c r="C793" s="35" t="s">
        <v>2184</v>
      </c>
      <c r="D793" s="35" t="s">
        <v>535</v>
      </c>
      <c r="E793" s="35" t="n">
        <v>21</v>
      </c>
      <c r="F793" s="35" t="s">
        <v>235</v>
      </c>
      <c r="G793" s="35" t="s">
        <v>217</v>
      </c>
      <c r="H793" s="35" t="s">
        <v>211</v>
      </c>
      <c r="I793" s="35" t="s">
        <v>202</v>
      </c>
      <c r="J793" s="35" t="n">
        <v>4</v>
      </c>
      <c r="K793" s="65" t="n">
        <v>40391.3</v>
      </c>
      <c r="L793" s="65" t="n">
        <v>161565.2</v>
      </c>
      <c r="M793" s="66" t="n">
        <f aca="false">DATE(YEAR(B793),MONTH(B793),1)</f>
        <v>45992</v>
      </c>
      <c r="N793" s="35" t="str">
        <f aca="false">IF(G793="","Unknown",G793)</f>
        <v>Kolkata</v>
      </c>
      <c r="O793" s="35" t="str">
        <f aca="false">IF(E793="","Unknown",IF(E793&lt;=25,"18-25",IF(E793&lt;=35,"26-35",IF(E793&lt;=45,"36-45",IF(E793&lt;=55,"46-55","56-65")))))</f>
        <v>18-25</v>
      </c>
      <c r="P793" s="35" t="n">
        <f aca="false">COUNTIF($C$2:$C$1001,C793)</f>
        <v>1</v>
      </c>
      <c r="Q793" s="35" t="n">
        <f aca="false">IF(COUNTIF($C$2:C793,C793)=1,1,0)</f>
        <v>1</v>
      </c>
    </row>
    <row r="794" customFormat="false" ht="15" hidden="false" customHeight="false" outlineLevel="0" collapsed="false">
      <c r="A794" s="35" t="s">
        <v>2185</v>
      </c>
      <c r="B794" s="64" t="n">
        <v>45801</v>
      </c>
      <c r="C794" s="35" t="s">
        <v>2186</v>
      </c>
      <c r="D794" s="35" t="s">
        <v>885</v>
      </c>
      <c r="E794" s="35" t="n">
        <v>21</v>
      </c>
      <c r="F794" s="35" t="s">
        <v>235</v>
      </c>
      <c r="G794" s="35" t="s">
        <v>218</v>
      </c>
      <c r="H794" s="35" t="s">
        <v>213</v>
      </c>
      <c r="I794" s="35" t="s">
        <v>204</v>
      </c>
      <c r="J794" s="35" t="n">
        <v>3</v>
      </c>
      <c r="K794" s="65" t="n">
        <v>39157.52</v>
      </c>
      <c r="L794" s="65" t="n">
        <v>117472.56</v>
      </c>
      <c r="M794" s="66" t="n">
        <f aca="false">DATE(YEAR(B794),MONTH(B794),1)</f>
        <v>45778</v>
      </c>
      <c r="N794" s="35" t="str">
        <f aca="false">IF(G794="","Unknown",G794)</f>
        <v>Bengaluru</v>
      </c>
      <c r="O794" s="35" t="str">
        <f aca="false">IF(E794="","Unknown",IF(E794&lt;=25,"18-25",IF(E794&lt;=35,"26-35",IF(E794&lt;=45,"36-45",IF(E794&lt;=55,"46-55","56-65")))))</f>
        <v>18-25</v>
      </c>
      <c r="P794" s="35" t="n">
        <f aca="false">COUNTIF($C$2:$C$1001,C794)</f>
        <v>1</v>
      </c>
      <c r="Q794" s="35" t="n">
        <f aca="false">IF(COUNTIF($C$2:C794,C794)=1,1,0)</f>
        <v>1</v>
      </c>
    </row>
    <row r="795" customFormat="false" ht="15" hidden="false" customHeight="false" outlineLevel="0" collapsed="false">
      <c r="A795" s="35" t="s">
        <v>2187</v>
      </c>
      <c r="B795" s="64" t="n">
        <v>45687</v>
      </c>
      <c r="C795" s="35" t="s">
        <v>2188</v>
      </c>
      <c r="D795" s="35" t="s">
        <v>1147</v>
      </c>
      <c r="E795" s="35" t="n">
        <v>19</v>
      </c>
      <c r="F795" s="35" t="s">
        <v>234</v>
      </c>
      <c r="G795" s="35" t="s">
        <v>216</v>
      </c>
      <c r="H795" s="35" t="s">
        <v>210</v>
      </c>
      <c r="I795" s="35" t="s">
        <v>201</v>
      </c>
      <c r="J795" s="35" t="n">
        <v>5</v>
      </c>
      <c r="K795" s="65" t="n">
        <v>12334.78</v>
      </c>
      <c r="L795" s="65" t="n">
        <v>61673.9</v>
      </c>
      <c r="M795" s="66" t="n">
        <f aca="false">DATE(YEAR(B795),MONTH(B795),1)</f>
        <v>45658</v>
      </c>
      <c r="N795" s="35" t="str">
        <f aca="false">IF(G795="","Unknown",G795)</f>
        <v>Patna</v>
      </c>
      <c r="O795" s="35" t="str">
        <f aca="false">IF(E795="","Unknown",IF(E795&lt;=25,"18-25",IF(E795&lt;=35,"26-35",IF(E795&lt;=45,"36-45",IF(E795&lt;=55,"46-55","56-65")))))</f>
        <v>18-25</v>
      </c>
      <c r="P795" s="35" t="n">
        <f aca="false">COUNTIF($C$2:$C$1001,C795)</f>
        <v>1</v>
      </c>
      <c r="Q795" s="35" t="n">
        <f aca="false">IF(COUNTIF($C$2:C795,C795)=1,1,0)</f>
        <v>1</v>
      </c>
    </row>
    <row r="796" customFormat="false" ht="15" hidden="false" customHeight="false" outlineLevel="0" collapsed="false">
      <c r="A796" s="35" t="s">
        <v>2189</v>
      </c>
      <c r="B796" s="64" t="n">
        <v>46023</v>
      </c>
      <c r="C796" s="35" t="s">
        <v>1845</v>
      </c>
      <c r="D796" s="35" t="s">
        <v>1037</v>
      </c>
      <c r="E796" s="35" t="n">
        <v>57</v>
      </c>
      <c r="F796" s="35" t="s">
        <v>235</v>
      </c>
      <c r="G796" s="35" t="s">
        <v>219</v>
      </c>
      <c r="H796" s="35" t="s">
        <v>213</v>
      </c>
      <c r="I796" s="35" t="s">
        <v>204</v>
      </c>
      <c r="J796" s="35" t="n">
        <v>9</v>
      </c>
      <c r="K796" s="65" t="n">
        <v>38573.17</v>
      </c>
      <c r="L796" s="65" t="n">
        <v>347158.53</v>
      </c>
      <c r="M796" s="66" t="n">
        <f aca="false">DATE(YEAR(B796),MONTH(B796),1)</f>
        <v>46023</v>
      </c>
      <c r="N796" s="35" t="str">
        <f aca="false">IF(G796="","Unknown",G796)</f>
        <v>Mumbai</v>
      </c>
      <c r="O796" s="35" t="str">
        <f aca="false">IF(E796="","Unknown",IF(E796&lt;=25,"18-25",IF(E796&lt;=35,"26-35",IF(E796&lt;=45,"36-45",IF(E796&lt;=55,"46-55","56-65")))))</f>
        <v>56-65</v>
      </c>
      <c r="P796" s="35" t="n">
        <f aca="false">COUNTIF($C$2:$C$1001,C796)</f>
        <v>2</v>
      </c>
      <c r="Q796" s="35" t="n">
        <f aca="false">IF(COUNTIF($C$2:C796,C796)=1,1,0)</f>
        <v>0</v>
      </c>
    </row>
    <row r="797" customFormat="false" ht="15" hidden="false" customHeight="false" outlineLevel="0" collapsed="false">
      <c r="A797" s="35" t="s">
        <v>2190</v>
      </c>
      <c r="B797" s="64" t="n">
        <v>45860</v>
      </c>
      <c r="C797" s="35" t="s">
        <v>304</v>
      </c>
      <c r="D797" s="35" t="s">
        <v>938</v>
      </c>
      <c r="E797" s="35" t="n">
        <v>48</v>
      </c>
      <c r="F797" s="35" t="s">
        <v>234</v>
      </c>
      <c r="G797" s="35" t="s">
        <v>218</v>
      </c>
      <c r="H797" s="35" t="s">
        <v>210</v>
      </c>
      <c r="I797" s="35" t="s">
        <v>201</v>
      </c>
      <c r="J797" s="35" t="n">
        <v>6</v>
      </c>
      <c r="K797" s="65" t="n">
        <v>18842.34</v>
      </c>
      <c r="L797" s="65" t="n">
        <v>113054.04</v>
      </c>
      <c r="M797" s="66" t="n">
        <f aca="false">DATE(YEAR(B797),MONTH(B797),1)</f>
        <v>45839</v>
      </c>
      <c r="N797" s="35" t="str">
        <f aca="false">IF(G797="","Unknown",G797)</f>
        <v>Bengaluru</v>
      </c>
      <c r="O797" s="35" t="str">
        <f aca="false">IF(E797="","Unknown",IF(E797&lt;=25,"18-25",IF(E797&lt;=35,"26-35",IF(E797&lt;=45,"36-45",IF(E797&lt;=55,"46-55","56-65")))))</f>
        <v>46-55</v>
      </c>
      <c r="P797" s="35" t="n">
        <f aca="false">COUNTIF($C$2:$C$1001,C797)</f>
        <v>2</v>
      </c>
      <c r="Q797" s="35" t="n">
        <f aca="false">IF(COUNTIF($C$2:C797,C797)=1,1,0)</f>
        <v>0</v>
      </c>
    </row>
    <row r="798" customFormat="false" ht="15" hidden="false" customHeight="false" outlineLevel="0" collapsed="false">
      <c r="A798" s="35" t="s">
        <v>2191</v>
      </c>
      <c r="B798" s="64" t="n">
        <v>45839</v>
      </c>
      <c r="C798" s="35" t="s">
        <v>2192</v>
      </c>
      <c r="D798" s="35" t="s">
        <v>1007</v>
      </c>
      <c r="E798" s="35" t="n">
        <v>62</v>
      </c>
      <c r="F798" s="35" t="s">
        <v>235</v>
      </c>
      <c r="G798" s="35" t="s">
        <v>217</v>
      </c>
      <c r="H798" s="35" t="s">
        <v>213</v>
      </c>
      <c r="I798" s="35" t="s">
        <v>204</v>
      </c>
      <c r="J798" s="35" t="n">
        <v>4</v>
      </c>
      <c r="K798" s="65" t="n">
        <v>20118.35</v>
      </c>
      <c r="L798" s="65" t="n">
        <v>80473.4</v>
      </c>
      <c r="M798" s="66" t="n">
        <f aca="false">DATE(YEAR(B798),MONTH(B798),1)</f>
        <v>45839</v>
      </c>
      <c r="N798" s="35" t="str">
        <f aca="false">IF(G798="","Unknown",G798)</f>
        <v>Kolkata</v>
      </c>
      <c r="O798" s="35" t="str">
        <f aca="false">IF(E798="","Unknown",IF(E798&lt;=25,"18-25",IF(E798&lt;=35,"26-35",IF(E798&lt;=45,"36-45",IF(E798&lt;=55,"46-55","56-65")))))</f>
        <v>56-65</v>
      </c>
      <c r="P798" s="35" t="n">
        <f aca="false">COUNTIF($C$2:$C$1001,C798)</f>
        <v>1</v>
      </c>
      <c r="Q798" s="35" t="n">
        <f aca="false">IF(COUNTIF($C$2:C798,C798)=1,1,0)</f>
        <v>1</v>
      </c>
    </row>
    <row r="799" customFormat="false" ht="15" hidden="false" customHeight="false" outlineLevel="0" collapsed="false">
      <c r="A799" s="35" t="s">
        <v>2193</v>
      </c>
      <c r="B799" s="64" t="n">
        <v>45968</v>
      </c>
      <c r="C799" s="35" t="s">
        <v>2194</v>
      </c>
      <c r="D799" s="35" t="s">
        <v>985</v>
      </c>
      <c r="E799" s="35" t="n">
        <v>51</v>
      </c>
      <c r="F799" s="35" t="s">
        <v>234</v>
      </c>
      <c r="G799" s="35" t="s">
        <v>219</v>
      </c>
      <c r="H799" s="35" t="s">
        <v>211</v>
      </c>
      <c r="I799" s="35" t="s">
        <v>202</v>
      </c>
      <c r="J799" s="35" t="n">
        <v>6</v>
      </c>
      <c r="K799" s="65" t="n">
        <v>39243.45</v>
      </c>
      <c r="L799" s="65" t="n">
        <v>235460.7</v>
      </c>
      <c r="M799" s="66" t="n">
        <f aca="false">DATE(YEAR(B799),MONTH(B799),1)</f>
        <v>45962</v>
      </c>
      <c r="N799" s="35" t="str">
        <f aca="false">IF(G799="","Unknown",G799)</f>
        <v>Mumbai</v>
      </c>
      <c r="O799" s="35" t="str">
        <f aca="false">IF(E799="","Unknown",IF(E799&lt;=25,"18-25",IF(E799&lt;=35,"26-35",IF(E799&lt;=45,"36-45",IF(E799&lt;=55,"46-55","56-65")))))</f>
        <v>46-55</v>
      </c>
      <c r="P799" s="35" t="n">
        <f aca="false">COUNTIF($C$2:$C$1001,C799)</f>
        <v>1</v>
      </c>
      <c r="Q799" s="35" t="n">
        <f aca="false">IF(COUNTIF($C$2:C799,C799)=1,1,0)</f>
        <v>1</v>
      </c>
    </row>
    <row r="800" customFormat="false" ht="15" hidden="false" customHeight="false" outlineLevel="0" collapsed="false">
      <c r="A800" s="35" t="s">
        <v>2195</v>
      </c>
      <c r="B800" s="64" t="n">
        <v>45927</v>
      </c>
      <c r="C800" s="35" t="s">
        <v>2196</v>
      </c>
      <c r="D800" s="35" t="s">
        <v>595</v>
      </c>
      <c r="E800" s="35"/>
      <c r="F800" s="35" t="s">
        <v>234</v>
      </c>
      <c r="G800" s="35" t="s">
        <v>216</v>
      </c>
      <c r="H800" s="35" t="s">
        <v>211</v>
      </c>
      <c r="I800" s="35" t="s">
        <v>202</v>
      </c>
      <c r="J800" s="35" t="n">
        <v>10</v>
      </c>
      <c r="K800" s="65" t="n">
        <v>15891.66</v>
      </c>
      <c r="L800" s="65" t="n">
        <v>158916.6</v>
      </c>
      <c r="M800" s="66" t="n">
        <f aca="false">DATE(YEAR(B800),MONTH(B800),1)</f>
        <v>45901</v>
      </c>
      <c r="N800" s="35" t="str">
        <f aca="false">IF(G800="","Unknown",G800)</f>
        <v>Patna</v>
      </c>
      <c r="O800" s="35" t="str">
        <f aca="false">IF(E800="","Unknown",IF(E800&lt;=25,"18-25",IF(E800&lt;=35,"26-35",IF(E800&lt;=45,"36-45",IF(E800&lt;=55,"46-55","56-65")))))</f>
        <v>Unknown</v>
      </c>
      <c r="P800" s="35" t="n">
        <f aca="false">COUNTIF($C$2:$C$1001,C800)</f>
        <v>1</v>
      </c>
      <c r="Q800" s="35" t="n">
        <f aca="false">IF(COUNTIF($C$2:C800,C800)=1,1,0)</f>
        <v>1</v>
      </c>
    </row>
    <row r="801" customFormat="false" ht="15" hidden="false" customHeight="false" outlineLevel="0" collapsed="false">
      <c r="A801" s="35" t="s">
        <v>2197</v>
      </c>
      <c r="B801" s="64" t="n">
        <v>45787</v>
      </c>
      <c r="C801" s="35" t="s">
        <v>2198</v>
      </c>
      <c r="D801" s="35" t="s">
        <v>2154</v>
      </c>
      <c r="E801" s="35" t="n">
        <v>47</v>
      </c>
      <c r="F801" s="35" t="s">
        <v>234</v>
      </c>
      <c r="G801" s="35" t="s">
        <v>223</v>
      </c>
      <c r="H801" s="35" t="s">
        <v>209</v>
      </c>
      <c r="I801" s="35" t="s">
        <v>200</v>
      </c>
      <c r="J801" s="35" t="n">
        <v>1</v>
      </c>
      <c r="K801" s="65" t="n">
        <v>40350.67</v>
      </c>
      <c r="L801" s="65" t="n">
        <v>40350.67</v>
      </c>
      <c r="M801" s="66" t="n">
        <f aca="false">DATE(YEAR(B801),MONTH(B801),1)</f>
        <v>45778</v>
      </c>
      <c r="N801" s="35" t="str">
        <f aca="false">IF(G801="","Unknown",G801)</f>
        <v>Gaya</v>
      </c>
      <c r="O801" s="35" t="str">
        <f aca="false">IF(E801="","Unknown",IF(E801&lt;=25,"18-25",IF(E801&lt;=35,"26-35",IF(E801&lt;=45,"36-45",IF(E801&lt;=55,"46-55","56-65")))))</f>
        <v>46-55</v>
      </c>
      <c r="P801" s="35" t="n">
        <f aca="false">COUNTIF($C$2:$C$1001,C801)</f>
        <v>1</v>
      </c>
      <c r="Q801" s="35" t="n">
        <f aca="false">IF(COUNTIF($C$2:C801,C801)=1,1,0)</f>
        <v>1</v>
      </c>
    </row>
    <row r="802" customFormat="false" ht="15" hidden="false" customHeight="false" outlineLevel="0" collapsed="false">
      <c r="A802" s="35" t="s">
        <v>2199</v>
      </c>
      <c r="B802" s="64" t="n">
        <v>45975</v>
      </c>
      <c r="C802" s="35" t="s">
        <v>2200</v>
      </c>
      <c r="D802" s="35" t="s">
        <v>1694</v>
      </c>
      <c r="E802" s="35" t="n">
        <v>29</v>
      </c>
      <c r="F802" s="35" t="s">
        <v>235</v>
      </c>
      <c r="G802" s="35" t="s">
        <v>219</v>
      </c>
      <c r="H802" s="35" t="s">
        <v>211</v>
      </c>
      <c r="I802" s="35" t="s">
        <v>202</v>
      </c>
      <c r="J802" s="35" t="n">
        <v>1</v>
      </c>
      <c r="K802" s="65" t="n">
        <v>47545.23</v>
      </c>
      <c r="L802" s="65" t="n">
        <v>47545.23</v>
      </c>
      <c r="M802" s="66" t="n">
        <f aca="false">DATE(YEAR(B802),MONTH(B802),1)</f>
        <v>45962</v>
      </c>
      <c r="N802" s="35" t="str">
        <f aca="false">IF(G802="","Unknown",G802)</f>
        <v>Mumbai</v>
      </c>
      <c r="O802" s="35" t="str">
        <f aca="false">IF(E802="","Unknown",IF(E802&lt;=25,"18-25",IF(E802&lt;=35,"26-35",IF(E802&lt;=45,"36-45",IF(E802&lt;=55,"46-55","56-65")))))</f>
        <v>26-35</v>
      </c>
      <c r="P802" s="35" t="n">
        <f aca="false">COUNTIF($C$2:$C$1001,C802)</f>
        <v>1</v>
      </c>
      <c r="Q802" s="35" t="n">
        <f aca="false">IF(COUNTIF($C$2:C802,C802)=1,1,0)</f>
        <v>1</v>
      </c>
    </row>
    <row r="803" customFormat="false" ht="15" hidden="false" customHeight="false" outlineLevel="0" collapsed="false">
      <c r="A803" s="35" t="s">
        <v>2201</v>
      </c>
      <c r="B803" s="64" t="n">
        <v>45941</v>
      </c>
      <c r="C803" s="35" t="s">
        <v>2202</v>
      </c>
      <c r="D803" s="35" t="s">
        <v>488</v>
      </c>
      <c r="E803" s="35" t="n">
        <v>30</v>
      </c>
      <c r="F803" s="35" t="s">
        <v>235</v>
      </c>
      <c r="G803" s="35" t="s">
        <v>217</v>
      </c>
      <c r="H803" s="35" t="s">
        <v>210</v>
      </c>
      <c r="I803" s="35" t="s">
        <v>201</v>
      </c>
      <c r="J803" s="35" t="n">
        <v>4</v>
      </c>
      <c r="K803" s="65" t="n">
        <v>17304.91</v>
      </c>
      <c r="L803" s="65" t="n">
        <v>69219.64</v>
      </c>
      <c r="M803" s="66" t="n">
        <f aca="false">DATE(YEAR(B803),MONTH(B803),1)</f>
        <v>45931</v>
      </c>
      <c r="N803" s="35" t="str">
        <f aca="false">IF(G803="","Unknown",G803)</f>
        <v>Kolkata</v>
      </c>
      <c r="O803" s="35" t="str">
        <f aca="false">IF(E803="","Unknown",IF(E803&lt;=25,"18-25",IF(E803&lt;=35,"26-35",IF(E803&lt;=45,"36-45",IF(E803&lt;=55,"46-55","56-65")))))</f>
        <v>26-35</v>
      </c>
      <c r="P803" s="35" t="n">
        <f aca="false">COUNTIF($C$2:$C$1001,C803)</f>
        <v>1</v>
      </c>
      <c r="Q803" s="35" t="n">
        <f aca="false">IF(COUNTIF($C$2:C803,C803)=1,1,0)</f>
        <v>1</v>
      </c>
    </row>
    <row r="804" customFormat="false" ht="15" hidden="false" customHeight="false" outlineLevel="0" collapsed="false">
      <c r="A804" s="35" t="s">
        <v>2203</v>
      </c>
      <c r="B804" s="64" t="n">
        <v>46002</v>
      </c>
      <c r="C804" s="35" t="s">
        <v>2204</v>
      </c>
      <c r="D804" s="35" t="s">
        <v>960</v>
      </c>
      <c r="E804" s="35" t="n">
        <v>32</v>
      </c>
      <c r="F804" s="35" t="s">
        <v>235</v>
      </c>
      <c r="G804" s="35" t="s">
        <v>221</v>
      </c>
      <c r="H804" s="35" t="s">
        <v>210</v>
      </c>
      <c r="I804" s="35" t="s">
        <v>201</v>
      </c>
      <c r="J804" s="35" t="n">
        <v>6</v>
      </c>
      <c r="K804" s="65" t="n">
        <v>17079.99</v>
      </c>
      <c r="L804" s="65" t="n">
        <v>102479.94</v>
      </c>
      <c r="M804" s="66" t="n">
        <f aca="false">DATE(YEAR(B804),MONTH(B804),1)</f>
        <v>45992</v>
      </c>
      <c r="N804" s="35" t="str">
        <f aca="false">IF(G804="","Unknown",G804)</f>
        <v>Delhi</v>
      </c>
      <c r="O804" s="35" t="str">
        <f aca="false">IF(E804="","Unknown",IF(E804&lt;=25,"18-25",IF(E804&lt;=35,"26-35",IF(E804&lt;=45,"36-45",IF(E804&lt;=55,"46-55","56-65")))))</f>
        <v>26-35</v>
      </c>
      <c r="P804" s="35" t="n">
        <f aca="false">COUNTIF($C$2:$C$1001,C804)</f>
        <v>1</v>
      </c>
      <c r="Q804" s="35" t="n">
        <f aca="false">IF(COUNTIF($C$2:C804,C804)=1,1,0)</f>
        <v>1</v>
      </c>
    </row>
    <row r="805" customFormat="false" ht="15" hidden="false" customHeight="false" outlineLevel="0" collapsed="false">
      <c r="A805" s="35" t="s">
        <v>2205</v>
      </c>
      <c r="B805" s="64" t="n">
        <v>45799</v>
      </c>
      <c r="C805" s="35" t="s">
        <v>2206</v>
      </c>
      <c r="D805" s="35" t="s">
        <v>477</v>
      </c>
      <c r="E805" s="35" t="n">
        <v>57</v>
      </c>
      <c r="F805" s="35" t="s">
        <v>234</v>
      </c>
      <c r="G805" s="35" t="s">
        <v>218</v>
      </c>
      <c r="H805" s="35" t="s">
        <v>213</v>
      </c>
      <c r="I805" s="35" t="s">
        <v>204</v>
      </c>
      <c r="J805" s="35" t="n">
        <v>9</v>
      </c>
      <c r="K805" s="65" t="n">
        <v>44772.96</v>
      </c>
      <c r="L805" s="65" t="n">
        <v>402956.64</v>
      </c>
      <c r="M805" s="66" t="n">
        <f aca="false">DATE(YEAR(B805),MONTH(B805),1)</f>
        <v>45778</v>
      </c>
      <c r="N805" s="35" t="str">
        <f aca="false">IF(G805="","Unknown",G805)</f>
        <v>Bengaluru</v>
      </c>
      <c r="O805" s="35" t="str">
        <f aca="false">IF(E805="","Unknown",IF(E805&lt;=25,"18-25",IF(E805&lt;=35,"26-35",IF(E805&lt;=45,"36-45",IF(E805&lt;=55,"46-55","56-65")))))</f>
        <v>56-65</v>
      </c>
      <c r="P805" s="35" t="n">
        <f aca="false">COUNTIF($C$2:$C$1001,C805)</f>
        <v>1</v>
      </c>
      <c r="Q805" s="35" t="n">
        <f aca="false">IF(COUNTIF($C$2:C805,C805)=1,1,0)</f>
        <v>1</v>
      </c>
    </row>
    <row r="806" customFormat="false" ht="15" hidden="false" customHeight="false" outlineLevel="0" collapsed="false">
      <c r="A806" s="35" t="s">
        <v>2207</v>
      </c>
      <c r="B806" s="64" t="n">
        <v>45718</v>
      </c>
      <c r="C806" s="35" t="s">
        <v>1346</v>
      </c>
      <c r="D806" s="35" t="s">
        <v>2078</v>
      </c>
      <c r="E806" s="35" t="n">
        <v>50</v>
      </c>
      <c r="F806" s="35" t="s">
        <v>235</v>
      </c>
      <c r="G806" s="35" t="s">
        <v>223</v>
      </c>
      <c r="H806" s="35" t="s">
        <v>213</v>
      </c>
      <c r="I806" s="35" t="s">
        <v>204</v>
      </c>
      <c r="J806" s="35" t="n">
        <v>10</v>
      </c>
      <c r="K806" s="65" t="n">
        <v>32483.32</v>
      </c>
      <c r="L806" s="65" t="n">
        <v>324833.2</v>
      </c>
      <c r="M806" s="66" t="n">
        <f aca="false">DATE(YEAR(B806),MONTH(B806),1)</f>
        <v>45717</v>
      </c>
      <c r="N806" s="35" t="str">
        <f aca="false">IF(G806="","Unknown",G806)</f>
        <v>Gaya</v>
      </c>
      <c r="O806" s="35" t="str">
        <f aca="false">IF(E806="","Unknown",IF(E806&lt;=25,"18-25",IF(E806&lt;=35,"26-35",IF(E806&lt;=45,"36-45",IF(E806&lt;=55,"46-55","56-65")))))</f>
        <v>46-55</v>
      </c>
      <c r="P806" s="35" t="n">
        <f aca="false">COUNTIF($C$2:$C$1001,C806)</f>
        <v>2</v>
      </c>
      <c r="Q806" s="35" t="n">
        <f aca="false">IF(COUNTIF($C$2:C806,C806)=1,1,0)</f>
        <v>0</v>
      </c>
    </row>
    <row r="807" customFormat="false" ht="15" hidden="false" customHeight="false" outlineLevel="0" collapsed="false">
      <c r="A807" s="35" t="s">
        <v>2208</v>
      </c>
      <c r="B807" s="64" t="n">
        <v>45935</v>
      </c>
      <c r="C807" s="35" t="s">
        <v>2209</v>
      </c>
      <c r="D807" s="35" t="s">
        <v>2210</v>
      </c>
      <c r="E807" s="35" t="n">
        <v>62</v>
      </c>
      <c r="F807" s="35" t="s">
        <v>234</v>
      </c>
      <c r="G807" s="35" t="s">
        <v>217</v>
      </c>
      <c r="H807" s="35" t="s">
        <v>212</v>
      </c>
      <c r="I807" s="35" t="s">
        <v>203</v>
      </c>
      <c r="J807" s="35" t="n">
        <v>9</v>
      </c>
      <c r="K807" s="65" t="n">
        <v>47699.69</v>
      </c>
      <c r="L807" s="65" t="n">
        <v>429297.21</v>
      </c>
      <c r="M807" s="66" t="n">
        <f aca="false">DATE(YEAR(B807),MONTH(B807),1)</f>
        <v>45931</v>
      </c>
      <c r="N807" s="35" t="str">
        <f aca="false">IF(G807="","Unknown",G807)</f>
        <v>Kolkata</v>
      </c>
      <c r="O807" s="35" t="str">
        <f aca="false">IF(E807="","Unknown",IF(E807&lt;=25,"18-25",IF(E807&lt;=35,"26-35",IF(E807&lt;=45,"36-45",IF(E807&lt;=55,"46-55","56-65")))))</f>
        <v>56-65</v>
      </c>
      <c r="P807" s="35" t="n">
        <f aca="false">COUNTIF($C$2:$C$1001,C807)</f>
        <v>1</v>
      </c>
      <c r="Q807" s="35" t="n">
        <f aca="false">IF(COUNTIF($C$2:C807,C807)=1,1,0)</f>
        <v>1</v>
      </c>
    </row>
    <row r="808" customFormat="false" ht="15" hidden="false" customHeight="false" outlineLevel="0" collapsed="false">
      <c r="A808" s="35" t="s">
        <v>2211</v>
      </c>
      <c r="B808" s="64" t="n">
        <v>45828</v>
      </c>
      <c r="C808" s="35" t="s">
        <v>2212</v>
      </c>
      <c r="D808" s="35" t="s">
        <v>1667</v>
      </c>
      <c r="E808" s="35" t="n">
        <v>28</v>
      </c>
      <c r="F808" s="35" t="s">
        <v>235</v>
      </c>
      <c r="G808" s="35" t="s">
        <v>216</v>
      </c>
      <c r="H808" s="35" t="s">
        <v>212</v>
      </c>
      <c r="I808" s="35" t="s">
        <v>203</v>
      </c>
      <c r="J808" s="35" t="n">
        <v>2</v>
      </c>
      <c r="K808" s="65" t="n">
        <v>23127.63</v>
      </c>
      <c r="L808" s="65" t="n">
        <v>46255.26</v>
      </c>
      <c r="M808" s="66" t="n">
        <f aca="false">DATE(YEAR(B808),MONTH(B808),1)</f>
        <v>45809</v>
      </c>
      <c r="N808" s="35" t="str">
        <f aca="false">IF(G808="","Unknown",G808)</f>
        <v>Patna</v>
      </c>
      <c r="O808" s="35" t="str">
        <f aca="false">IF(E808="","Unknown",IF(E808&lt;=25,"18-25",IF(E808&lt;=35,"26-35",IF(E808&lt;=45,"36-45",IF(E808&lt;=55,"46-55","56-65")))))</f>
        <v>26-35</v>
      </c>
      <c r="P808" s="35" t="n">
        <f aca="false">COUNTIF($C$2:$C$1001,C808)</f>
        <v>1</v>
      </c>
      <c r="Q808" s="35" t="n">
        <f aca="false">IF(COUNTIF($C$2:C808,C808)=1,1,0)</f>
        <v>1</v>
      </c>
    </row>
    <row r="809" customFormat="false" ht="15" hidden="false" customHeight="false" outlineLevel="0" collapsed="false">
      <c r="A809" s="35" t="s">
        <v>2213</v>
      </c>
      <c r="B809" s="64" t="n">
        <v>45810</v>
      </c>
      <c r="C809" s="35" t="s">
        <v>2214</v>
      </c>
      <c r="D809" s="35" t="s">
        <v>765</v>
      </c>
      <c r="E809" s="35" t="n">
        <v>60</v>
      </c>
      <c r="F809" s="35" t="s">
        <v>235</v>
      </c>
      <c r="G809" s="35" t="s">
        <v>218</v>
      </c>
      <c r="H809" s="35" t="s">
        <v>213</v>
      </c>
      <c r="I809" s="35" t="s">
        <v>204</v>
      </c>
      <c r="J809" s="35" t="n">
        <v>6</v>
      </c>
      <c r="K809" s="65" t="n">
        <v>16882.56</v>
      </c>
      <c r="L809" s="65" t="n">
        <v>101295.36</v>
      </c>
      <c r="M809" s="66" t="n">
        <f aca="false">DATE(YEAR(B809),MONTH(B809),1)</f>
        <v>45809</v>
      </c>
      <c r="N809" s="35" t="str">
        <f aca="false">IF(G809="","Unknown",G809)</f>
        <v>Bengaluru</v>
      </c>
      <c r="O809" s="35" t="str">
        <f aca="false">IF(E809="","Unknown",IF(E809&lt;=25,"18-25",IF(E809&lt;=35,"26-35",IF(E809&lt;=45,"36-45",IF(E809&lt;=55,"46-55","56-65")))))</f>
        <v>56-65</v>
      </c>
      <c r="P809" s="35" t="n">
        <f aca="false">COUNTIF($C$2:$C$1001,C809)</f>
        <v>1</v>
      </c>
      <c r="Q809" s="35" t="n">
        <f aca="false">IF(COUNTIF($C$2:C809,C809)=1,1,0)</f>
        <v>1</v>
      </c>
    </row>
    <row r="810" customFormat="false" ht="15" hidden="false" customHeight="false" outlineLevel="0" collapsed="false">
      <c r="A810" s="35" t="s">
        <v>2215</v>
      </c>
      <c r="B810" s="64" t="n">
        <v>45812</v>
      </c>
      <c r="C810" s="35" t="s">
        <v>2216</v>
      </c>
      <c r="D810" s="35" t="s">
        <v>1027</v>
      </c>
      <c r="E810" s="35" t="n">
        <v>52</v>
      </c>
      <c r="F810" s="35" t="s">
        <v>234</v>
      </c>
      <c r="G810" s="35" t="s">
        <v>220</v>
      </c>
      <c r="H810" s="35" t="s">
        <v>211</v>
      </c>
      <c r="I810" s="35" t="s">
        <v>202</v>
      </c>
      <c r="J810" s="35" t="n">
        <v>6</v>
      </c>
      <c r="K810" s="65" t="n">
        <v>32296.32</v>
      </c>
      <c r="L810" s="65" t="n">
        <v>193777.92</v>
      </c>
      <c r="M810" s="66" t="n">
        <f aca="false">DATE(YEAR(B810),MONTH(B810),1)</f>
        <v>45809</v>
      </c>
      <c r="N810" s="35" t="str">
        <f aca="false">IF(G810="","Unknown",G810)</f>
        <v>Hyderabad</v>
      </c>
      <c r="O810" s="35" t="str">
        <f aca="false">IF(E810="","Unknown",IF(E810&lt;=25,"18-25",IF(E810&lt;=35,"26-35",IF(E810&lt;=45,"36-45",IF(E810&lt;=55,"46-55","56-65")))))</f>
        <v>46-55</v>
      </c>
      <c r="P810" s="35" t="n">
        <f aca="false">COUNTIF($C$2:$C$1001,C810)</f>
        <v>1</v>
      </c>
      <c r="Q810" s="35" t="n">
        <f aca="false">IF(COUNTIF($C$2:C810,C810)=1,1,0)</f>
        <v>1</v>
      </c>
    </row>
    <row r="811" customFormat="false" ht="15" hidden="false" customHeight="false" outlineLevel="0" collapsed="false">
      <c r="A811" s="35" t="s">
        <v>2217</v>
      </c>
      <c r="B811" s="64" t="n">
        <v>45661</v>
      </c>
      <c r="C811" s="35" t="s">
        <v>2218</v>
      </c>
      <c r="D811" s="35" t="s">
        <v>447</v>
      </c>
      <c r="E811" s="35" t="n">
        <v>30</v>
      </c>
      <c r="F811" s="35" t="s">
        <v>235</v>
      </c>
      <c r="G811" s="35" t="s">
        <v>216</v>
      </c>
      <c r="H811" s="35" t="s">
        <v>210</v>
      </c>
      <c r="I811" s="35" t="s">
        <v>201</v>
      </c>
      <c r="J811" s="35" t="n">
        <v>3</v>
      </c>
      <c r="K811" s="65" t="n">
        <v>15090.15</v>
      </c>
      <c r="L811" s="65" t="n">
        <v>45270.45</v>
      </c>
      <c r="M811" s="66" t="n">
        <f aca="false">DATE(YEAR(B811),MONTH(B811),1)</f>
        <v>45658</v>
      </c>
      <c r="N811" s="35" t="str">
        <f aca="false">IF(G811="","Unknown",G811)</f>
        <v>Patna</v>
      </c>
      <c r="O811" s="35" t="str">
        <f aca="false">IF(E811="","Unknown",IF(E811&lt;=25,"18-25",IF(E811&lt;=35,"26-35",IF(E811&lt;=45,"36-45",IF(E811&lt;=55,"46-55","56-65")))))</f>
        <v>26-35</v>
      </c>
      <c r="P811" s="35" t="n">
        <f aca="false">COUNTIF($C$2:$C$1001,C811)</f>
        <v>1</v>
      </c>
      <c r="Q811" s="35" t="n">
        <f aca="false">IF(COUNTIF($C$2:C811,C811)=1,1,0)</f>
        <v>1</v>
      </c>
    </row>
    <row r="812" customFormat="false" ht="15" hidden="false" customHeight="false" outlineLevel="0" collapsed="false">
      <c r="A812" s="35" t="s">
        <v>2219</v>
      </c>
      <c r="B812" s="64" t="n">
        <v>45688</v>
      </c>
      <c r="C812" s="35" t="s">
        <v>2220</v>
      </c>
      <c r="D812" s="35" t="s">
        <v>590</v>
      </c>
      <c r="E812" s="35" t="n">
        <v>50</v>
      </c>
      <c r="F812" s="35" t="s">
        <v>235</v>
      </c>
      <c r="G812" s="35" t="s">
        <v>219</v>
      </c>
      <c r="H812" s="35" t="s">
        <v>212</v>
      </c>
      <c r="I812" s="35" t="s">
        <v>203</v>
      </c>
      <c r="J812" s="35" t="n">
        <v>2</v>
      </c>
      <c r="K812" s="65" t="n">
        <v>30197.53</v>
      </c>
      <c r="L812" s="65" t="n">
        <v>60395.06</v>
      </c>
      <c r="M812" s="66" t="n">
        <f aca="false">DATE(YEAR(B812),MONTH(B812),1)</f>
        <v>45658</v>
      </c>
      <c r="N812" s="35" t="str">
        <f aca="false">IF(G812="","Unknown",G812)</f>
        <v>Mumbai</v>
      </c>
      <c r="O812" s="35" t="str">
        <f aca="false">IF(E812="","Unknown",IF(E812&lt;=25,"18-25",IF(E812&lt;=35,"26-35",IF(E812&lt;=45,"36-45",IF(E812&lt;=55,"46-55","56-65")))))</f>
        <v>46-55</v>
      </c>
      <c r="P812" s="35" t="n">
        <f aca="false">COUNTIF($C$2:$C$1001,C812)</f>
        <v>1</v>
      </c>
      <c r="Q812" s="35" t="n">
        <f aca="false">IF(COUNTIF($C$2:C812,C812)=1,1,0)</f>
        <v>1</v>
      </c>
    </row>
    <row r="813" customFormat="false" ht="15" hidden="false" customHeight="false" outlineLevel="0" collapsed="false">
      <c r="A813" s="35" t="s">
        <v>2221</v>
      </c>
      <c r="B813" s="64" t="n">
        <v>45791</v>
      </c>
      <c r="C813" s="35" t="s">
        <v>2222</v>
      </c>
      <c r="D813" s="35" t="s">
        <v>2223</v>
      </c>
      <c r="E813" s="35" t="n">
        <v>50</v>
      </c>
      <c r="F813" s="35" t="s">
        <v>234</v>
      </c>
      <c r="G813" s="35" t="s">
        <v>216</v>
      </c>
      <c r="H813" s="35" t="s">
        <v>209</v>
      </c>
      <c r="I813" s="35" t="s">
        <v>200</v>
      </c>
      <c r="J813" s="35" t="n">
        <v>2</v>
      </c>
      <c r="K813" s="65" t="n">
        <v>41544.45</v>
      </c>
      <c r="L813" s="65" t="n">
        <v>83088.9</v>
      </c>
      <c r="M813" s="66" t="n">
        <f aca="false">DATE(YEAR(B813),MONTH(B813),1)</f>
        <v>45778</v>
      </c>
      <c r="N813" s="35" t="str">
        <f aca="false">IF(G813="","Unknown",G813)</f>
        <v>Patna</v>
      </c>
      <c r="O813" s="35" t="str">
        <f aca="false">IF(E813="","Unknown",IF(E813&lt;=25,"18-25",IF(E813&lt;=35,"26-35",IF(E813&lt;=45,"36-45",IF(E813&lt;=55,"46-55","56-65")))))</f>
        <v>46-55</v>
      </c>
      <c r="P813" s="35" t="n">
        <f aca="false">COUNTIF($C$2:$C$1001,C813)</f>
        <v>1</v>
      </c>
      <c r="Q813" s="35" t="n">
        <f aca="false">IF(COUNTIF($C$2:C813,C813)=1,1,0)</f>
        <v>1</v>
      </c>
    </row>
    <row r="814" customFormat="false" ht="15" hidden="false" customHeight="false" outlineLevel="0" collapsed="false">
      <c r="A814" s="35" t="s">
        <v>2224</v>
      </c>
      <c r="B814" s="64" t="n">
        <v>45917</v>
      </c>
      <c r="C814" s="35" t="s">
        <v>2225</v>
      </c>
      <c r="D814" s="35" t="s">
        <v>2226</v>
      </c>
      <c r="E814" s="35" t="n">
        <v>40</v>
      </c>
      <c r="F814" s="35" t="s">
        <v>235</v>
      </c>
      <c r="G814" s="35" t="s">
        <v>220</v>
      </c>
      <c r="H814" s="35" t="s">
        <v>208</v>
      </c>
      <c r="I814" s="35" t="s">
        <v>200</v>
      </c>
      <c r="J814" s="35" t="n">
        <v>8</v>
      </c>
      <c r="K814" s="65" t="n">
        <v>42593.69</v>
      </c>
      <c r="L814" s="65" t="n">
        <v>340749.52</v>
      </c>
      <c r="M814" s="66" t="n">
        <f aca="false">DATE(YEAR(B814),MONTH(B814),1)</f>
        <v>45901</v>
      </c>
      <c r="N814" s="35" t="str">
        <f aca="false">IF(G814="","Unknown",G814)</f>
        <v>Hyderabad</v>
      </c>
      <c r="O814" s="35" t="str">
        <f aca="false">IF(E814="","Unknown",IF(E814&lt;=25,"18-25",IF(E814&lt;=35,"26-35",IF(E814&lt;=45,"36-45",IF(E814&lt;=55,"46-55","56-65")))))</f>
        <v>36-45</v>
      </c>
      <c r="P814" s="35" t="n">
        <f aca="false">COUNTIF($C$2:$C$1001,C814)</f>
        <v>1</v>
      </c>
      <c r="Q814" s="35" t="n">
        <f aca="false">IF(COUNTIF($C$2:C814,C814)=1,1,0)</f>
        <v>1</v>
      </c>
    </row>
    <row r="815" customFormat="false" ht="15" hidden="false" customHeight="false" outlineLevel="0" collapsed="false">
      <c r="A815" s="35" t="s">
        <v>2227</v>
      </c>
      <c r="B815" s="64" t="n">
        <v>45908</v>
      </c>
      <c r="C815" s="35" t="s">
        <v>2228</v>
      </c>
      <c r="D815" s="35" t="s">
        <v>1755</v>
      </c>
      <c r="E815" s="35" t="n">
        <v>52</v>
      </c>
      <c r="F815" s="35" t="s">
        <v>234</v>
      </c>
      <c r="G815" s="35" t="s">
        <v>221</v>
      </c>
      <c r="H815" s="35" t="s">
        <v>209</v>
      </c>
      <c r="I815" s="35" t="s">
        <v>200</v>
      </c>
      <c r="J815" s="35" t="n">
        <v>1</v>
      </c>
      <c r="K815" s="65" t="n">
        <v>26771.99</v>
      </c>
      <c r="L815" s="65" t="n">
        <v>26771.99</v>
      </c>
      <c r="M815" s="66" t="n">
        <f aca="false">DATE(YEAR(B815),MONTH(B815),1)</f>
        <v>45901</v>
      </c>
      <c r="N815" s="35" t="str">
        <f aca="false">IF(G815="","Unknown",G815)</f>
        <v>Delhi</v>
      </c>
      <c r="O815" s="35" t="str">
        <f aca="false">IF(E815="","Unknown",IF(E815&lt;=25,"18-25",IF(E815&lt;=35,"26-35",IF(E815&lt;=45,"36-45",IF(E815&lt;=55,"46-55","56-65")))))</f>
        <v>46-55</v>
      </c>
      <c r="P815" s="35" t="n">
        <f aca="false">COUNTIF($C$2:$C$1001,C815)</f>
        <v>1</v>
      </c>
      <c r="Q815" s="35" t="n">
        <f aca="false">IF(COUNTIF($C$2:C815,C815)=1,1,0)</f>
        <v>1</v>
      </c>
    </row>
    <row r="816" customFormat="false" ht="15" hidden="false" customHeight="false" outlineLevel="0" collapsed="false">
      <c r="A816" s="35" t="s">
        <v>2229</v>
      </c>
      <c r="B816" s="64" t="n">
        <v>45812</v>
      </c>
      <c r="C816" s="35" t="s">
        <v>2230</v>
      </c>
      <c r="D816" s="35" t="s">
        <v>1003</v>
      </c>
      <c r="E816" s="35" t="n">
        <v>44</v>
      </c>
      <c r="F816" s="35" t="s">
        <v>234</v>
      </c>
      <c r="G816" s="35" t="s">
        <v>217</v>
      </c>
      <c r="H816" s="35" t="s">
        <v>211</v>
      </c>
      <c r="I816" s="35" t="s">
        <v>202</v>
      </c>
      <c r="J816" s="35" t="n">
        <v>9</v>
      </c>
      <c r="K816" s="65" t="n">
        <v>31690.41</v>
      </c>
      <c r="L816" s="65" t="n">
        <v>285213.69</v>
      </c>
      <c r="M816" s="66" t="n">
        <f aca="false">DATE(YEAR(B816),MONTH(B816),1)</f>
        <v>45809</v>
      </c>
      <c r="N816" s="35" t="str">
        <f aca="false">IF(G816="","Unknown",G816)</f>
        <v>Kolkata</v>
      </c>
      <c r="O816" s="35" t="str">
        <f aca="false">IF(E816="","Unknown",IF(E816&lt;=25,"18-25",IF(E816&lt;=35,"26-35",IF(E816&lt;=45,"36-45",IF(E816&lt;=55,"46-55","56-65")))))</f>
        <v>36-45</v>
      </c>
      <c r="P816" s="35" t="n">
        <f aca="false">COUNTIF($C$2:$C$1001,C816)</f>
        <v>1</v>
      </c>
      <c r="Q816" s="35" t="n">
        <f aca="false">IF(COUNTIF($C$2:C816,C816)=1,1,0)</f>
        <v>1</v>
      </c>
    </row>
    <row r="817" customFormat="false" ht="15" hidden="false" customHeight="false" outlineLevel="0" collapsed="false">
      <c r="A817" s="35" t="s">
        <v>2231</v>
      </c>
      <c r="B817" s="64" t="n">
        <v>45745</v>
      </c>
      <c r="C817" s="35" t="s">
        <v>2232</v>
      </c>
      <c r="D817" s="35" t="s">
        <v>272</v>
      </c>
      <c r="E817" s="35" t="n">
        <v>23</v>
      </c>
      <c r="F817" s="35" t="s">
        <v>235</v>
      </c>
      <c r="G817" s="35" t="s">
        <v>216</v>
      </c>
      <c r="H817" s="35" t="s">
        <v>211</v>
      </c>
      <c r="I817" s="35" t="s">
        <v>202</v>
      </c>
      <c r="J817" s="35" t="n">
        <v>6</v>
      </c>
      <c r="K817" s="65" t="n">
        <v>20913.85</v>
      </c>
      <c r="L817" s="65" t="n">
        <v>125483.1</v>
      </c>
      <c r="M817" s="66" t="n">
        <f aca="false">DATE(YEAR(B817),MONTH(B817),1)</f>
        <v>45717</v>
      </c>
      <c r="N817" s="35" t="str">
        <f aca="false">IF(G817="","Unknown",G817)</f>
        <v>Patna</v>
      </c>
      <c r="O817" s="35" t="str">
        <f aca="false">IF(E817="","Unknown",IF(E817&lt;=25,"18-25",IF(E817&lt;=35,"26-35",IF(E817&lt;=45,"36-45",IF(E817&lt;=55,"46-55","56-65")))))</f>
        <v>18-25</v>
      </c>
      <c r="P817" s="35" t="n">
        <f aca="false">COUNTIF($C$2:$C$1001,C817)</f>
        <v>1</v>
      </c>
      <c r="Q817" s="35" t="n">
        <f aca="false">IF(COUNTIF($C$2:C817,C817)=1,1,0)</f>
        <v>1</v>
      </c>
    </row>
    <row r="818" customFormat="false" ht="15" hidden="false" customHeight="false" outlineLevel="0" collapsed="false">
      <c r="A818" s="35" t="s">
        <v>2233</v>
      </c>
      <c r="B818" s="64" t="n">
        <v>45843</v>
      </c>
      <c r="C818" s="35" t="s">
        <v>375</v>
      </c>
      <c r="D818" s="35" t="s">
        <v>1147</v>
      </c>
      <c r="E818" s="35" t="n">
        <v>49</v>
      </c>
      <c r="F818" s="35" t="s">
        <v>234</v>
      </c>
      <c r="G818" s="35" t="s">
        <v>220</v>
      </c>
      <c r="H818" s="35" t="s">
        <v>212</v>
      </c>
      <c r="I818" s="35" t="s">
        <v>203</v>
      </c>
      <c r="J818" s="35" t="n">
        <v>7</v>
      </c>
      <c r="K818" s="65" t="n">
        <v>36034.1</v>
      </c>
      <c r="L818" s="65" t="n">
        <v>252238.7</v>
      </c>
      <c r="M818" s="66" t="n">
        <f aca="false">DATE(YEAR(B818),MONTH(B818),1)</f>
        <v>45839</v>
      </c>
      <c r="N818" s="35" t="str">
        <f aca="false">IF(G818="","Unknown",G818)</f>
        <v>Hyderabad</v>
      </c>
      <c r="O818" s="35" t="str">
        <f aca="false">IF(E818="","Unknown",IF(E818&lt;=25,"18-25",IF(E818&lt;=35,"26-35",IF(E818&lt;=45,"36-45",IF(E818&lt;=55,"46-55","56-65")))))</f>
        <v>46-55</v>
      </c>
      <c r="P818" s="35" t="n">
        <f aca="false">COUNTIF($C$2:$C$1001,C818)</f>
        <v>2</v>
      </c>
      <c r="Q818" s="35" t="n">
        <f aca="false">IF(COUNTIF($C$2:C818,C818)=1,1,0)</f>
        <v>0</v>
      </c>
    </row>
    <row r="819" customFormat="false" ht="15" hidden="false" customHeight="false" outlineLevel="0" collapsed="false">
      <c r="A819" s="35" t="s">
        <v>2234</v>
      </c>
      <c r="B819" s="64" t="n">
        <v>46000</v>
      </c>
      <c r="C819" s="35" t="s">
        <v>2235</v>
      </c>
      <c r="D819" s="35" t="s">
        <v>2236</v>
      </c>
      <c r="E819" s="35" t="n">
        <v>28</v>
      </c>
      <c r="F819" s="35" t="s">
        <v>234</v>
      </c>
      <c r="G819" s="35" t="s">
        <v>217</v>
      </c>
      <c r="H819" s="35" t="s">
        <v>209</v>
      </c>
      <c r="I819" s="35" t="s">
        <v>200</v>
      </c>
      <c r="J819" s="35" t="n">
        <v>8</v>
      </c>
      <c r="K819" s="65" t="n">
        <v>21646.64</v>
      </c>
      <c r="L819" s="65" t="n">
        <v>173173.12</v>
      </c>
      <c r="M819" s="66" t="n">
        <f aca="false">DATE(YEAR(B819),MONTH(B819),1)</f>
        <v>45992</v>
      </c>
      <c r="N819" s="35" t="str">
        <f aca="false">IF(G819="","Unknown",G819)</f>
        <v>Kolkata</v>
      </c>
      <c r="O819" s="35" t="str">
        <f aca="false">IF(E819="","Unknown",IF(E819&lt;=25,"18-25",IF(E819&lt;=35,"26-35",IF(E819&lt;=45,"36-45",IF(E819&lt;=55,"46-55","56-65")))))</f>
        <v>26-35</v>
      </c>
      <c r="P819" s="35" t="n">
        <f aca="false">COUNTIF($C$2:$C$1001,C819)</f>
        <v>1</v>
      </c>
      <c r="Q819" s="35" t="n">
        <f aca="false">IF(COUNTIF($C$2:C819,C819)=1,1,0)</f>
        <v>1</v>
      </c>
    </row>
    <row r="820" customFormat="false" ht="15" hidden="false" customHeight="false" outlineLevel="0" collapsed="false">
      <c r="A820" s="35" t="s">
        <v>2237</v>
      </c>
      <c r="B820" s="64" t="n">
        <v>45666</v>
      </c>
      <c r="C820" s="35" t="s">
        <v>1686</v>
      </c>
      <c r="D820" s="35" t="s">
        <v>1470</v>
      </c>
      <c r="E820" s="35" t="n">
        <v>60</v>
      </c>
      <c r="F820" s="35" t="s">
        <v>234</v>
      </c>
      <c r="G820" s="35" t="s">
        <v>218</v>
      </c>
      <c r="H820" s="35" t="s">
        <v>208</v>
      </c>
      <c r="I820" s="35" t="s">
        <v>200</v>
      </c>
      <c r="J820" s="35" t="n">
        <v>1</v>
      </c>
      <c r="K820" s="65" t="n">
        <v>21553.66</v>
      </c>
      <c r="L820" s="65" t="n">
        <v>21553.66</v>
      </c>
      <c r="M820" s="66" t="n">
        <f aca="false">DATE(YEAR(B820),MONTH(B820),1)</f>
        <v>45658</v>
      </c>
      <c r="N820" s="35" t="str">
        <f aca="false">IF(G820="","Unknown",G820)</f>
        <v>Bengaluru</v>
      </c>
      <c r="O820" s="35" t="str">
        <f aca="false">IF(E820="","Unknown",IF(E820&lt;=25,"18-25",IF(E820&lt;=35,"26-35",IF(E820&lt;=45,"36-45",IF(E820&lt;=55,"46-55","56-65")))))</f>
        <v>56-65</v>
      </c>
      <c r="P820" s="35" t="n">
        <f aca="false">COUNTIF($C$2:$C$1001,C820)</f>
        <v>2</v>
      </c>
      <c r="Q820" s="35" t="n">
        <f aca="false">IF(COUNTIF($C$2:C820,C820)=1,1,0)</f>
        <v>0</v>
      </c>
    </row>
    <row r="821" customFormat="false" ht="15" hidden="false" customHeight="false" outlineLevel="0" collapsed="false">
      <c r="A821" s="35" t="s">
        <v>2238</v>
      </c>
      <c r="B821" s="64" t="n">
        <v>45824</v>
      </c>
      <c r="C821" s="35" t="s">
        <v>2239</v>
      </c>
      <c r="D821" s="35" t="s">
        <v>738</v>
      </c>
      <c r="E821" s="35" t="n">
        <v>45</v>
      </c>
      <c r="F821" s="35" t="s">
        <v>234</v>
      </c>
      <c r="G821" s="35" t="s">
        <v>219</v>
      </c>
      <c r="H821" s="35" t="s">
        <v>210</v>
      </c>
      <c r="I821" s="35" t="s">
        <v>201</v>
      </c>
      <c r="J821" s="35" t="n">
        <v>3</v>
      </c>
      <c r="K821" s="65" t="n">
        <v>17152.2</v>
      </c>
      <c r="L821" s="65" t="n">
        <v>51456.6</v>
      </c>
      <c r="M821" s="66" t="n">
        <f aca="false">DATE(YEAR(B821),MONTH(B821),1)</f>
        <v>45809</v>
      </c>
      <c r="N821" s="35" t="str">
        <f aca="false">IF(G821="","Unknown",G821)</f>
        <v>Mumbai</v>
      </c>
      <c r="O821" s="35" t="str">
        <f aca="false">IF(E821="","Unknown",IF(E821&lt;=25,"18-25",IF(E821&lt;=35,"26-35",IF(E821&lt;=45,"36-45",IF(E821&lt;=55,"46-55","56-65")))))</f>
        <v>36-45</v>
      </c>
      <c r="P821" s="35" t="n">
        <f aca="false">COUNTIF($C$2:$C$1001,C821)</f>
        <v>1</v>
      </c>
      <c r="Q821" s="35" t="n">
        <f aca="false">IF(COUNTIF($C$2:C821,C821)=1,1,0)</f>
        <v>1</v>
      </c>
    </row>
    <row r="822" customFormat="false" ht="15" hidden="false" customHeight="false" outlineLevel="0" collapsed="false">
      <c r="A822" s="35" t="s">
        <v>2240</v>
      </c>
      <c r="B822" s="64" t="n">
        <v>45915</v>
      </c>
      <c r="C822" s="35" t="s">
        <v>2241</v>
      </c>
      <c r="D822" s="35" t="s">
        <v>436</v>
      </c>
      <c r="E822" s="35" t="n">
        <v>37</v>
      </c>
      <c r="F822" s="35" t="s">
        <v>235</v>
      </c>
      <c r="G822" s="35" t="s">
        <v>223</v>
      </c>
      <c r="H822" s="35" t="s">
        <v>211</v>
      </c>
      <c r="I822" s="35" t="s">
        <v>202</v>
      </c>
      <c r="J822" s="35" t="n">
        <v>1</v>
      </c>
      <c r="K822" s="65" t="n">
        <v>21368.29</v>
      </c>
      <c r="L822" s="65" t="n">
        <v>21368.29</v>
      </c>
      <c r="M822" s="66" t="n">
        <f aca="false">DATE(YEAR(B822),MONTH(B822),1)</f>
        <v>45901</v>
      </c>
      <c r="N822" s="35" t="str">
        <f aca="false">IF(G822="","Unknown",G822)</f>
        <v>Gaya</v>
      </c>
      <c r="O822" s="35" t="str">
        <f aca="false">IF(E822="","Unknown",IF(E822&lt;=25,"18-25",IF(E822&lt;=35,"26-35",IF(E822&lt;=45,"36-45",IF(E822&lt;=55,"46-55","56-65")))))</f>
        <v>36-45</v>
      </c>
      <c r="P822" s="35" t="n">
        <f aca="false">COUNTIF($C$2:$C$1001,C822)</f>
        <v>1</v>
      </c>
      <c r="Q822" s="35" t="n">
        <f aca="false">IF(COUNTIF($C$2:C822,C822)=1,1,0)</f>
        <v>1</v>
      </c>
    </row>
    <row r="823" customFormat="false" ht="15" hidden="false" customHeight="false" outlineLevel="0" collapsed="false">
      <c r="A823" s="35" t="s">
        <v>2242</v>
      </c>
      <c r="B823" s="64" t="n">
        <v>45859</v>
      </c>
      <c r="C823" s="35" t="s">
        <v>2243</v>
      </c>
      <c r="D823" s="35" t="s">
        <v>2244</v>
      </c>
      <c r="E823" s="35" t="n">
        <v>20</v>
      </c>
      <c r="F823" s="35" t="s">
        <v>235</v>
      </c>
      <c r="G823" s="35" t="s">
        <v>218</v>
      </c>
      <c r="H823" s="35" t="s">
        <v>213</v>
      </c>
      <c r="I823" s="35" t="s">
        <v>204</v>
      </c>
      <c r="J823" s="35" t="n">
        <v>7</v>
      </c>
      <c r="K823" s="65" t="n">
        <v>47413.32</v>
      </c>
      <c r="L823" s="65" t="n">
        <v>331893.24</v>
      </c>
      <c r="M823" s="66" t="n">
        <f aca="false">DATE(YEAR(B823),MONTH(B823),1)</f>
        <v>45839</v>
      </c>
      <c r="N823" s="35" t="str">
        <f aca="false">IF(G823="","Unknown",G823)</f>
        <v>Bengaluru</v>
      </c>
      <c r="O823" s="35" t="str">
        <f aca="false">IF(E823="","Unknown",IF(E823&lt;=25,"18-25",IF(E823&lt;=35,"26-35",IF(E823&lt;=45,"36-45",IF(E823&lt;=55,"46-55","56-65")))))</f>
        <v>18-25</v>
      </c>
      <c r="P823" s="35" t="n">
        <f aca="false">COUNTIF($C$2:$C$1001,C823)</f>
        <v>1</v>
      </c>
      <c r="Q823" s="35" t="n">
        <f aca="false">IF(COUNTIF($C$2:C823,C823)=1,1,0)</f>
        <v>1</v>
      </c>
    </row>
    <row r="824" customFormat="false" ht="15" hidden="false" customHeight="false" outlineLevel="0" collapsed="false">
      <c r="A824" s="35" t="s">
        <v>2245</v>
      </c>
      <c r="B824" s="64" t="n">
        <v>45746</v>
      </c>
      <c r="C824" s="35" t="s">
        <v>2246</v>
      </c>
      <c r="D824" s="35" t="s">
        <v>1719</v>
      </c>
      <c r="E824" s="35" t="n">
        <v>64</v>
      </c>
      <c r="F824" s="35" t="s">
        <v>235</v>
      </c>
      <c r="G824" s="35" t="s">
        <v>223</v>
      </c>
      <c r="H824" s="35" t="s">
        <v>212</v>
      </c>
      <c r="I824" s="35" t="s">
        <v>203</v>
      </c>
      <c r="J824" s="35" t="n">
        <v>4</v>
      </c>
      <c r="K824" s="65" t="n">
        <v>2716.24</v>
      </c>
      <c r="L824" s="65" t="n">
        <v>10864.96</v>
      </c>
      <c r="M824" s="66" t="n">
        <f aca="false">DATE(YEAR(B824),MONTH(B824),1)</f>
        <v>45717</v>
      </c>
      <c r="N824" s="35" t="str">
        <f aca="false">IF(G824="","Unknown",G824)</f>
        <v>Gaya</v>
      </c>
      <c r="O824" s="35" t="str">
        <f aca="false">IF(E824="","Unknown",IF(E824&lt;=25,"18-25",IF(E824&lt;=35,"26-35",IF(E824&lt;=45,"36-45",IF(E824&lt;=55,"46-55","56-65")))))</f>
        <v>56-65</v>
      </c>
      <c r="P824" s="35" t="n">
        <f aca="false">COUNTIF($C$2:$C$1001,C824)</f>
        <v>1</v>
      </c>
      <c r="Q824" s="35" t="n">
        <f aca="false">IF(COUNTIF($C$2:C824,C824)=1,1,0)</f>
        <v>1</v>
      </c>
    </row>
    <row r="825" customFormat="false" ht="15" hidden="false" customHeight="false" outlineLevel="0" collapsed="false">
      <c r="A825" s="35" t="s">
        <v>2247</v>
      </c>
      <c r="B825" s="64" t="n">
        <v>45851</v>
      </c>
      <c r="C825" s="35" t="s">
        <v>2248</v>
      </c>
      <c r="D825" s="35" t="s">
        <v>412</v>
      </c>
      <c r="E825" s="35" t="n">
        <v>57</v>
      </c>
      <c r="F825" s="35" t="s">
        <v>235</v>
      </c>
      <c r="G825" s="35"/>
      <c r="H825" s="35" t="s">
        <v>208</v>
      </c>
      <c r="I825" s="35" t="s">
        <v>200</v>
      </c>
      <c r="J825" s="35" t="n">
        <v>2</v>
      </c>
      <c r="K825" s="65" t="n">
        <v>45863.13</v>
      </c>
      <c r="L825" s="65" t="n">
        <v>91726.26</v>
      </c>
      <c r="M825" s="66" t="n">
        <f aca="false">DATE(YEAR(B825),MONTH(B825),1)</f>
        <v>45839</v>
      </c>
      <c r="N825" s="35" t="str">
        <f aca="false">IF(G825="","Unknown",G825)</f>
        <v>Unknown</v>
      </c>
      <c r="O825" s="35" t="str">
        <f aca="false">IF(E825="","Unknown",IF(E825&lt;=25,"18-25",IF(E825&lt;=35,"26-35",IF(E825&lt;=45,"36-45",IF(E825&lt;=55,"46-55","56-65")))))</f>
        <v>56-65</v>
      </c>
      <c r="P825" s="35" t="n">
        <f aca="false">COUNTIF($C$2:$C$1001,C825)</f>
        <v>1</v>
      </c>
      <c r="Q825" s="35" t="n">
        <f aca="false">IF(COUNTIF($C$2:C825,C825)=1,1,0)</f>
        <v>1</v>
      </c>
    </row>
    <row r="826" customFormat="false" ht="15" hidden="false" customHeight="false" outlineLevel="0" collapsed="false">
      <c r="A826" s="35" t="s">
        <v>2249</v>
      </c>
      <c r="B826" s="64" t="n">
        <v>45752</v>
      </c>
      <c r="C826" s="35" t="s">
        <v>2250</v>
      </c>
      <c r="D826" s="35" t="s">
        <v>269</v>
      </c>
      <c r="E826" s="35" t="n">
        <v>24</v>
      </c>
      <c r="F826" s="35" t="s">
        <v>235</v>
      </c>
      <c r="G826" s="35" t="s">
        <v>218</v>
      </c>
      <c r="H826" s="35" t="s">
        <v>213</v>
      </c>
      <c r="I826" s="35" t="s">
        <v>204</v>
      </c>
      <c r="J826" s="35" t="n">
        <v>5</v>
      </c>
      <c r="K826" s="65" t="n">
        <v>48228.96</v>
      </c>
      <c r="L826" s="65" t="n">
        <v>241144.8</v>
      </c>
      <c r="M826" s="66" t="n">
        <f aca="false">DATE(YEAR(B826),MONTH(B826),1)</f>
        <v>45748</v>
      </c>
      <c r="N826" s="35" t="str">
        <f aca="false">IF(G826="","Unknown",G826)</f>
        <v>Bengaluru</v>
      </c>
      <c r="O826" s="35" t="str">
        <f aca="false">IF(E826="","Unknown",IF(E826&lt;=25,"18-25",IF(E826&lt;=35,"26-35",IF(E826&lt;=45,"36-45",IF(E826&lt;=55,"46-55","56-65")))))</f>
        <v>18-25</v>
      </c>
      <c r="P826" s="35" t="n">
        <f aca="false">COUNTIF($C$2:$C$1001,C826)</f>
        <v>1</v>
      </c>
      <c r="Q826" s="35" t="n">
        <f aca="false">IF(COUNTIF($C$2:C826,C826)=1,1,0)</f>
        <v>1</v>
      </c>
    </row>
    <row r="827" customFormat="false" ht="15" hidden="false" customHeight="false" outlineLevel="0" collapsed="false">
      <c r="A827" s="35" t="s">
        <v>2251</v>
      </c>
      <c r="B827" s="64" t="n">
        <v>45827</v>
      </c>
      <c r="C827" s="35" t="s">
        <v>2252</v>
      </c>
      <c r="D827" s="35" t="s">
        <v>503</v>
      </c>
      <c r="E827" s="35" t="n">
        <v>42</v>
      </c>
      <c r="F827" s="35" t="s">
        <v>234</v>
      </c>
      <c r="G827" s="35" t="s">
        <v>219</v>
      </c>
      <c r="H827" s="35" t="s">
        <v>208</v>
      </c>
      <c r="I827" s="35" t="s">
        <v>200</v>
      </c>
      <c r="J827" s="35" t="n">
        <v>1</v>
      </c>
      <c r="K827" s="65" t="n">
        <v>31849.44</v>
      </c>
      <c r="L827" s="65" t="n">
        <v>31849.44</v>
      </c>
      <c r="M827" s="66" t="n">
        <f aca="false">DATE(YEAR(B827),MONTH(B827),1)</f>
        <v>45809</v>
      </c>
      <c r="N827" s="35" t="str">
        <f aca="false">IF(G827="","Unknown",G827)</f>
        <v>Mumbai</v>
      </c>
      <c r="O827" s="35" t="str">
        <f aca="false">IF(E827="","Unknown",IF(E827&lt;=25,"18-25",IF(E827&lt;=35,"26-35",IF(E827&lt;=45,"36-45",IF(E827&lt;=55,"46-55","56-65")))))</f>
        <v>36-45</v>
      </c>
      <c r="P827" s="35" t="n">
        <f aca="false">COUNTIF($C$2:$C$1001,C827)</f>
        <v>1</v>
      </c>
      <c r="Q827" s="35" t="n">
        <f aca="false">IF(COUNTIF($C$2:C827,C827)=1,1,0)</f>
        <v>1</v>
      </c>
    </row>
    <row r="828" customFormat="false" ht="15" hidden="false" customHeight="false" outlineLevel="0" collapsed="false">
      <c r="A828" s="35" t="s">
        <v>2253</v>
      </c>
      <c r="B828" s="64" t="n">
        <v>45964</v>
      </c>
      <c r="C828" s="35" t="s">
        <v>2254</v>
      </c>
      <c r="D828" s="35" t="s">
        <v>2138</v>
      </c>
      <c r="E828" s="35" t="n">
        <v>33</v>
      </c>
      <c r="F828" s="35" t="s">
        <v>234</v>
      </c>
      <c r="G828" s="35" t="s">
        <v>223</v>
      </c>
      <c r="H828" s="35" t="s">
        <v>210</v>
      </c>
      <c r="I828" s="35" t="s">
        <v>201</v>
      </c>
      <c r="J828" s="35" t="n">
        <v>4</v>
      </c>
      <c r="K828" s="65" t="n">
        <v>8685.69</v>
      </c>
      <c r="L828" s="65" t="n">
        <v>34742.76</v>
      </c>
      <c r="M828" s="66" t="n">
        <f aca="false">DATE(YEAR(B828),MONTH(B828),1)</f>
        <v>45962</v>
      </c>
      <c r="N828" s="35" t="str">
        <f aca="false">IF(G828="","Unknown",G828)</f>
        <v>Gaya</v>
      </c>
      <c r="O828" s="35" t="str">
        <f aca="false">IF(E828="","Unknown",IF(E828&lt;=25,"18-25",IF(E828&lt;=35,"26-35",IF(E828&lt;=45,"36-45",IF(E828&lt;=55,"46-55","56-65")))))</f>
        <v>26-35</v>
      </c>
      <c r="P828" s="35" t="n">
        <f aca="false">COUNTIF($C$2:$C$1001,C828)</f>
        <v>1</v>
      </c>
      <c r="Q828" s="35" t="n">
        <f aca="false">IF(COUNTIF($C$2:C828,C828)=1,1,0)</f>
        <v>1</v>
      </c>
    </row>
    <row r="829" customFormat="false" ht="15" hidden="false" customHeight="false" outlineLevel="0" collapsed="false">
      <c r="A829" s="35" t="s">
        <v>2255</v>
      </c>
      <c r="B829" s="64" t="n">
        <v>45715</v>
      </c>
      <c r="C829" s="35" t="s">
        <v>2256</v>
      </c>
      <c r="D829" s="35" t="s">
        <v>1255</v>
      </c>
      <c r="E829" s="35" t="n">
        <v>44</v>
      </c>
      <c r="F829" s="35" t="s">
        <v>234</v>
      </c>
      <c r="G829" s="35" t="s">
        <v>221</v>
      </c>
      <c r="H829" s="35" t="s">
        <v>211</v>
      </c>
      <c r="I829" s="35" t="s">
        <v>202</v>
      </c>
      <c r="J829" s="35" t="n">
        <v>2</v>
      </c>
      <c r="K829" s="65" t="n">
        <v>49685.64</v>
      </c>
      <c r="L829" s="65" t="n">
        <v>99371.28</v>
      </c>
      <c r="M829" s="66" t="n">
        <f aca="false">DATE(YEAR(B829),MONTH(B829),1)</f>
        <v>45689</v>
      </c>
      <c r="N829" s="35" t="str">
        <f aca="false">IF(G829="","Unknown",G829)</f>
        <v>Delhi</v>
      </c>
      <c r="O829" s="35" t="str">
        <f aca="false">IF(E829="","Unknown",IF(E829&lt;=25,"18-25",IF(E829&lt;=35,"26-35",IF(E829&lt;=45,"36-45",IF(E829&lt;=55,"46-55","56-65")))))</f>
        <v>36-45</v>
      </c>
      <c r="P829" s="35" t="n">
        <f aca="false">COUNTIF($C$2:$C$1001,C829)</f>
        <v>1</v>
      </c>
      <c r="Q829" s="35" t="n">
        <f aca="false">IF(COUNTIF($C$2:C829,C829)=1,1,0)</f>
        <v>1</v>
      </c>
    </row>
    <row r="830" customFormat="false" ht="15" hidden="false" customHeight="false" outlineLevel="0" collapsed="false">
      <c r="A830" s="35" t="s">
        <v>2257</v>
      </c>
      <c r="B830" s="64" t="n">
        <v>45757</v>
      </c>
      <c r="C830" s="35" t="s">
        <v>2258</v>
      </c>
      <c r="D830" s="35" t="s">
        <v>666</v>
      </c>
      <c r="E830" s="35" t="n">
        <v>19</v>
      </c>
      <c r="F830" s="35" t="s">
        <v>234</v>
      </c>
      <c r="G830" s="35" t="s">
        <v>217</v>
      </c>
      <c r="H830" s="35" t="s">
        <v>213</v>
      </c>
      <c r="I830" s="35" t="s">
        <v>204</v>
      </c>
      <c r="J830" s="35" t="n">
        <v>8</v>
      </c>
      <c r="K830" s="65" t="n">
        <v>10921.12</v>
      </c>
      <c r="L830" s="65" t="n">
        <v>87368.96</v>
      </c>
      <c r="M830" s="66" t="n">
        <f aca="false">DATE(YEAR(B830),MONTH(B830),1)</f>
        <v>45748</v>
      </c>
      <c r="N830" s="35" t="str">
        <f aca="false">IF(G830="","Unknown",G830)</f>
        <v>Kolkata</v>
      </c>
      <c r="O830" s="35" t="str">
        <f aca="false">IF(E830="","Unknown",IF(E830&lt;=25,"18-25",IF(E830&lt;=35,"26-35",IF(E830&lt;=45,"36-45",IF(E830&lt;=55,"46-55","56-65")))))</f>
        <v>18-25</v>
      </c>
      <c r="P830" s="35" t="n">
        <f aca="false">COUNTIF($C$2:$C$1001,C830)</f>
        <v>1</v>
      </c>
      <c r="Q830" s="35" t="n">
        <f aca="false">IF(COUNTIF($C$2:C830,C830)=1,1,0)</f>
        <v>1</v>
      </c>
    </row>
    <row r="831" customFormat="false" ht="15" hidden="false" customHeight="false" outlineLevel="0" collapsed="false">
      <c r="A831" s="35" t="s">
        <v>2259</v>
      </c>
      <c r="B831" s="64" t="n">
        <v>45666</v>
      </c>
      <c r="C831" s="35" t="s">
        <v>2260</v>
      </c>
      <c r="D831" s="35" t="s">
        <v>1829</v>
      </c>
      <c r="E831" s="35" t="n">
        <v>53</v>
      </c>
      <c r="F831" s="35" t="s">
        <v>235</v>
      </c>
      <c r="G831" s="35" t="s">
        <v>216</v>
      </c>
      <c r="H831" s="35" t="s">
        <v>208</v>
      </c>
      <c r="I831" s="35" t="s">
        <v>200</v>
      </c>
      <c r="J831" s="35" t="n">
        <v>3</v>
      </c>
      <c r="K831" s="65" t="n">
        <v>33896.35</v>
      </c>
      <c r="L831" s="65" t="n">
        <v>101689.05</v>
      </c>
      <c r="M831" s="66" t="n">
        <f aca="false">DATE(YEAR(B831),MONTH(B831),1)</f>
        <v>45658</v>
      </c>
      <c r="N831" s="35" t="str">
        <f aca="false">IF(G831="","Unknown",G831)</f>
        <v>Patna</v>
      </c>
      <c r="O831" s="35" t="str">
        <f aca="false">IF(E831="","Unknown",IF(E831&lt;=25,"18-25",IF(E831&lt;=35,"26-35",IF(E831&lt;=45,"36-45",IF(E831&lt;=55,"46-55","56-65")))))</f>
        <v>46-55</v>
      </c>
      <c r="P831" s="35" t="n">
        <f aca="false">COUNTIF($C$2:$C$1001,C831)</f>
        <v>1</v>
      </c>
      <c r="Q831" s="35" t="n">
        <f aca="false">IF(COUNTIF($C$2:C831,C831)=1,1,0)</f>
        <v>1</v>
      </c>
    </row>
    <row r="832" customFormat="false" ht="15" hidden="false" customHeight="false" outlineLevel="0" collapsed="false">
      <c r="A832" s="35" t="s">
        <v>2261</v>
      </c>
      <c r="B832" s="64" t="n">
        <v>45885</v>
      </c>
      <c r="C832" s="35" t="s">
        <v>2262</v>
      </c>
      <c r="D832" s="35" t="s">
        <v>735</v>
      </c>
      <c r="E832" s="35" t="n">
        <v>30</v>
      </c>
      <c r="F832" s="35" t="s">
        <v>235</v>
      </c>
      <c r="G832" s="35" t="s">
        <v>217</v>
      </c>
      <c r="H832" s="35" t="s">
        <v>213</v>
      </c>
      <c r="I832" s="35" t="s">
        <v>204</v>
      </c>
      <c r="J832" s="35" t="n">
        <v>4</v>
      </c>
      <c r="K832" s="65" t="n">
        <v>31512.79</v>
      </c>
      <c r="L832" s="65" t="n">
        <v>126051.16</v>
      </c>
      <c r="M832" s="66" t="n">
        <f aca="false">DATE(YEAR(B832),MONTH(B832),1)</f>
        <v>45870</v>
      </c>
      <c r="N832" s="35" t="str">
        <f aca="false">IF(G832="","Unknown",G832)</f>
        <v>Kolkata</v>
      </c>
      <c r="O832" s="35" t="str">
        <f aca="false">IF(E832="","Unknown",IF(E832&lt;=25,"18-25",IF(E832&lt;=35,"26-35",IF(E832&lt;=45,"36-45",IF(E832&lt;=55,"46-55","56-65")))))</f>
        <v>26-35</v>
      </c>
      <c r="P832" s="35" t="n">
        <f aca="false">COUNTIF($C$2:$C$1001,C832)</f>
        <v>1</v>
      </c>
      <c r="Q832" s="35" t="n">
        <f aca="false">IF(COUNTIF($C$2:C832,C832)=1,1,0)</f>
        <v>1</v>
      </c>
    </row>
    <row r="833" customFormat="false" ht="15" hidden="false" customHeight="false" outlineLevel="0" collapsed="false">
      <c r="A833" s="35" t="s">
        <v>2263</v>
      </c>
      <c r="B833" s="64" t="n">
        <v>45966</v>
      </c>
      <c r="C833" s="35" t="s">
        <v>2264</v>
      </c>
      <c r="D833" s="35" t="s">
        <v>1979</v>
      </c>
      <c r="E833" s="35" t="n">
        <v>20</v>
      </c>
      <c r="F833" s="35" t="s">
        <v>235</v>
      </c>
      <c r="G833" s="35" t="s">
        <v>217</v>
      </c>
      <c r="H833" s="35" t="s">
        <v>209</v>
      </c>
      <c r="I833" s="35" t="s">
        <v>200</v>
      </c>
      <c r="J833" s="35" t="n">
        <v>6</v>
      </c>
      <c r="K833" s="65" t="n">
        <v>17944.07</v>
      </c>
      <c r="L833" s="65" t="n">
        <v>107664.42</v>
      </c>
      <c r="M833" s="66" t="n">
        <f aca="false">DATE(YEAR(B833),MONTH(B833),1)</f>
        <v>45962</v>
      </c>
      <c r="N833" s="35" t="str">
        <f aca="false">IF(G833="","Unknown",G833)</f>
        <v>Kolkata</v>
      </c>
      <c r="O833" s="35" t="str">
        <f aca="false">IF(E833="","Unknown",IF(E833&lt;=25,"18-25",IF(E833&lt;=35,"26-35",IF(E833&lt;=45,"36-45",IF(E833&lt;=55,"46-55","56-65")))))</f>
        <v>18-25</v>
      </c>
      <c r="P833" s="35" t="n">
        <f aca="false">COUNTIF($C$2:$C$1001,C833)</f>
        <v>1</v>
      </c>
      <c r="Q833" s="35" t="n">
        <f aca="false">IF(COUNTIF($C$2:C833,C833)=1,1,0)</f>
        <v>1</v>
      </c>
    </row>
    <row r="834" customFormat="false" ht="15" hidden="false" customHeight="false" outlineLevel="0" collapsed="false">
      <c r="A834" s="35" t="s">
        <v>2265</v>
      </c>
      <c r="B834" s="64" t="n">
        <v>45994</v>
      </c>
      <c r="C834" s="35" t="s">
        <v>2266</v>
      </c>
      <c r="D834" s="35" t="s">
        <v>251</v>
      </c>
      <c r="E834" s="35" t="n">
        <v>51</v>
      </c>
      <c r="F834" s="35" t="s">
        <v>235</v>
      </c>
      <c r="G834" s="35" t="s">
        <v>223</v>
      </c>
      <c r="H834" s="35" t="s">
        <v>209</v>
      </c>
      <c r="I834" s="35" t="s">
        <v>200</v>
      </c>
      <c r="J834" s="35" t="n">
        <v>3</v>
      </c>
      <c r="K834" s="65" t="n">
        <v>14145.7</v>
      </c>
      <c r="L834" s="65" t="n">
        <v>42437.1</v>
      </c>
      <c r="M834" s="66" t="n">
        <f aca="false">DATE(YEAR(B834),MONTH(B834),1)</f>
        <v>45992</v>
      </c>
      <c r="N834" s="35" t="str">
        <f aca="false">IF(G834="","Unknown",G834)</f>
        <v>Gaya</v>
      </c>
      <c r="O834" s="35" t="str">
        <f aca="false">IF(E834="","Unknown",IF(E834&lt;=25,"18-25",IF(E834&lt;=35,"26-35",IF(E834&lt;=45,"36-45",IF(E834&lt;=55,"46-55","56-65")))))</f>
        <v>46-55</v>
      </c>
      <c r="P834" s="35" t="n">
        <f aca="false">COUNTIF($C$2:$C$1001,C834)</f>
        <v>1</v>
      </c>
      <c r="Q834" s="35" t="n">
        <f aca="false">IF(COUNTIF($C$2:C834,C834)=1,1,0)</f>
        <v>1</v>
      </c>
    </row>
    <row r="835" customFormat="false" ht="15" hidden="false" customHeight="false" outlineLevel="0" collapsed="false">
      <c r="A835" s="35" t="s">
        <v>2267</v>
      </c>
      <c r="B835" s="64" t="n">
        <v>45737</v>
      </c>
      <c r="C835" s="35" t="s">
        <v>2268</v>
      </c>
      <c r="D835" s="35" t="s">
        <v>347</v>
      </c>
      <c r="E835" s="35" t="n">
        <v>62</v>
      </c>
      <c r="F835" s="35" t="s">
        <v>235</v>
      </c>
      <c r="G835" s="35" t="s">
        <v>223</v>
      </c>
      <c r="H835" s="35" t="s">
        <v>210</v>
      </c>
      <c r="I835" s="35" t="s">
        <v>201</v>
      </c>
      <c r="J835" s="35" t="n">
        <v>3</v>
      </c>
      <c r="K835" s="65" t="n">
        <v>33186.38</v>
      </c>
      <c r="L835" s="65" t="n">
        <v>99559.14</v>
      </c>
      <c r="M835" s="66" t="n">
        <f aca="false">DATE(YEAR(B835),MONTH(B835),1)</f>
        <v>45717</v>
      </c>
      <c r="N835" s="35" t="str">
        <f aca="false">IF(G835="","Unknown",G835)</f>
        <v>Gaya</v>
      </c>
      <c r="O835" s="35" t="str">
        <f aca="false">IF(E835="","Unknown",IF(E835&lt;=25,"18-25",IF(E835&lt;=35,"26-35",IF(E835&lt;=45,"36-45",IF(E835&lt;=55,"46-55","56-65")))))</f>
        <v>56-65</v>
      </c>
      <c r="P835" s="35" t="n">
        <f aca="false">COUNTIF($C$2:$C$1001,C835)</f>
        <v>1</v>
      </c>
      <c r="Q835" s="35" t="n">
        <f aca="false">IF(COUNTIF($C$2:C835,C835)=1,1,0)</f>
        <v>1</v>
      </c>
    </row>
    <row r="836" customFormat="false" ht="15" hidden="false" customHeight="false" outlineLevel="0" collapsed="false">
      <c r="A836" s="35" t="s">
        <v>2269</v>
      </c>
      <c r="B836" s="64" t="n">
        <v>45818</v>
      </c>
      <c r="C836" s="35" t="s">
        <v>759</v>
      </c>
      <c r="D836" s="35" t="s">
        <v>674</v>
      </c>
      <c r="E836" s="35" t="n">
        <v>23</v>
      </c>
      <c r="F836" s="35" t="s">
        <v>234</v>
      </c>
      <c r="G836" s="35" t="s">
        <v>216</v>
      </c>
      <c r="H836" s="35" t="s">
        <v>209</v>
      </c>
      <c r="I836" s="35" t="s">
        <v>200</v>
      </c>
      <c r="J836" s="35" t="n">
        <v>5</v>
      </c>
      <c r="K836" s="65" t="n">
        <v>24537.11</v>
      </c>
      <c r="L836" s="65" t="n">
        <v>122685.55</v>
      </c>
      <c r="M836" s="66" t="n">
        <f aca="false">DATE(YEAR(B836),MONTH(B836),1)</f>
        <v>45809</v>
      </c>
      <c r="N836" s="35" t="str">
        <f aca="false">IF(G836="","Unknown",G836)</f>
        <v>Patna</v>
      </c>
      <c r="O836" s="35" t="str">
        <f aca="false">IF(E836="","Unknown",IF(E836&lt;=25,"18-25",IF(E836&lt;=35,"26-35",IF(E836&lt;=45,"36-45",IF(E836&lt;=55,"46-55","56-65")))))</f>
        <v>18-25</v>
      </c>
      <c r="P836" s="35" t="n">
        <f aca="false">COUNTIF($C$2:$C$1001,C836)</f>
        <v>2</v>
      </c>
      <c r="Q836" s="35" t="n">
        <f aca="false">IF(COUNTIF($C$2:C836,C836)=1,1,0)</f>
        <v>0</v>
      </c>
    </row>
    <row r="837" customFormat="false" ht="15" hidden="false" customHeight="false" outlineLevel="0" collapsed="false">
      <c r="A837" s="35" t="s">
        <v>2270</v>
      </c>
      <c r="B837" s="64" t="n">
        <v>45905</v>
      </c>
      <c r="C837" s="35" t="s">
        <v>1152</v>
      </c>
      <c r="D837" s="35" t="s">
        <v>317</v>
      </c>
      <c r="E837" s="35" t="n">
        <v>26</v>
      </c>
      <c r="F837" s="35" t="s">
        <v>234</v>
      </c>
      <c r="G837" s="35" t="s">
        <v>217</v>
      </c>
      <c r="H837" s="35" t="s">
        <v>209</v>
      </c>
      <c r="I837" s="35" t="s">
        <v>200</v>
      </c>
      <c r="J837" s="35" t="n">
        <v>4</v>
      </c>
      <c r="K837" s="65" t="n">
        <v>7989.47</v>
      </c>
      <c r="L837" s="65" t="n">
        <v>31957.88</v>
      </c>
      <c r="M837" s="66" t="n">
        <f aca="false">DATE(YEAR(B837),MONTH(B837),1)</f>
        <v>45901</v>
      </c>
      <c r="N837" s="35" t="str">
        <f aca="false">IF(G837="","Unknown",G837)</f>
        <v>Kolkata</v>
      </c>
      <c r="O837" s="35" t="str">
        <f aca="false">IF(E837="","Unknown",IF(E837&lt;=25,"18-25",IF(E837&lt;=35,"26-35",IF(E837&lt;=45,"36-45",IF(E837&lt;=55,"46-55","56-65")))))</f>
        <v>26-35</v>
      </c>
      <c r="P837" s="35" t="n">
        <f aca="false">COUNTIF($C$2:$C$1001,C837)</f>
        <v>2</v>
      </c>
      <c r="Q837" s="35" t="n">
        <f aca="false">IF(COUNTIF($C$2:C837,C837)=1,1,0)</f>
        <v>0</v>
      </c>
    </row>
    <row r="838" customFormat="false" ht="15" hidden="false" customHeight="false" outlineLevel="0" collapsed="false">
      <c r="A838" s="35" t="s">
        <v>2271</v>
      </c>
      <c r="B838" s="64" t="n">
        <v>45988</v>
      </c>
      <c r="C838" s="35" t="s">
        <v>2272</v>
      </c>
      <c r="D838" s="35" t="s">
        <v>1255</v>
      </c>
      <c r="E838" s="35" t="n">
        <v>44</v>
      </c>
      <c r="F838" s="35" t="s">
        <v>235</v>
      </c>
      <c r="G838" s="35" t="s">
        <v>219</v>
      </c>
      <c r="H838" s="35" t="s">
        <v>213</v>
      </c>
      <c r="I838" s="35" t="s">
        <v>204</v>
      </c>
      <c r="J838" s="35" t="n">
        <v>6</v>
      </c>
      <c r="K838" s="65" t="n">
        <v>9784.56</v>
      </c>
      <c r="L838" s="65" t="n">
        <v>58707.36</v>
      </c>
      <c r="M838" s="66" t="n">
        <f aca="false">DATE(YEAR(B838),MONTH(B838),1)</f>
        <v>45962</v>
      </c>
      <c r="N838" s="35" t="str">
        <f aca="false">IF(G838="","Unknown",G838)</f>
        <v>Mumbai</v>
      </c>
      <c r="O838" s="35" t="str">
        <f aca="false">IF(E838="","Unknown",IF(E838&lt;=25,"18-25",IF(E838&lt;=35,"26-35",IF(E838&lt;=45,"36-45",IF(E838&lt;=55,"46-55","56-65")))))</f>
        <v>36-45</v>
      </c>
      <c r="P838" s="35" t="n">
        <f aca="false">COUNTIF($C$2:$C$1001,C838)</f>
        <v>1</v>
      </c>
      <c r="Q838" s="35" t="n">
        <f aca="false">IF(COUNTIF($C$2:C838,C838)=1,1,0)</f>
        <v>1</v>
      </c>
    </row>
    <row r="839" customFormat="false" ht="15" hidden="false" customHeight="false" outlineLevel="0" collapsed="false">
      <c r="A839" s="35" t="s">
        <v>2273</v>
      </c>
      <c r="B839" s="64" t="n">
        <v>45789</v>
      </c>
      <c r="C839" s="35" t="s">
        <v>2274</v>
      </c>
      <c r="D839" s="35" t="s">
        <v>2275</v>
      </c>
      <c r="E839" s="35" t="n">
        <v>47</v>
      </c>
      <c r="F839" s="35" t="s">
        <v>235</v>
      </c>
      <c r="G839" s="35" t="s">
        <v>220</v>
      </c>
      <c r="H839" s="35" t="s">
        <v>208</v>
      </c>
      <c r="I839" s="35" t="s">
        <v>200</v>
      </c>
      <c r="J839" s="35" t="n">
        <v>5</v>
      </c>
      <c r="K839" s="65" t="n">
        <v>47021.1</v>
      </c>
      <c r="L839" s="65" t="n">
        <v>235105.5</v>
      </c>
      <c r="M839" s="66" t="n">
        <f aca="false">DATE(YEAR(B839),MONTH(B839),1)</f>
        <v>45778</v>
      </c>
      <c r="N839" s="35" t="str">
        <f aca="false">IF(G839="","Unknown",G839)</f>
        <v>Hyderabad</v>
      </c>
      <c r="O839" s="35" t="str">
        <f aca="false">IF(E839="","Unknown",IF(E839&lt;=25,"18-25",IF(E839&lt;=35,"26-35",IF(E839&lt;=45,"36-45",IF(E839&lt;=55,"46-55","56-65")))))</f>
        <v>46-55</v>
      </c>
      <c r="P839" s="35" t="n">
        <f aca="false">COUNTIF($C$2:$C$1001,C839)</f>
        <v>1</v>
      </c>
      <c r="Q839" s="35" t="n">
        <f aca="false">IF(COUNTIF($C$2:C839,C839)=1,1,0)</f>
        <v>1</v>
      </c>
    </row>
    <row r="840" customFormat="false" ht="15" hidden="false" customHeight="false" outlineLevel="0" collapsed="false">
      <c r="A840" s="35" t="s">
        <v>392</v>
      </c>
      <c r="B840" s="64" t="n">
        <v>45872</v>
      </c>
      <c r="C840" s="35" t="s">
        <v>2276</v>
      </c>
      <c r="D840" s="35" t="s">
        <v>2277</v>
      </c>
      <c r="E840" s="35" t="n">
        <v>35</v>
      </c>
      <c r="F840" s="35" t="s">
        <v>234</v>
      </c>
      <c r="G840" s="35" t="s">
        <v>217</v>
      </c>
      <c r="H840" s="35" t="s">
        <v>212</v>
      </c>
      <c r="I840" s="35" t="s">
        <v>203</v>
      </c>
      <c r="J840" s="35" t="n">
        <v>9</v>
      </c>
      <c r="K840" s="65" t="n">
        <v>28747.47</v>
      </c>
      <c r="L840" s="65" t="n">
        <v>258727.23</v>
      </c>
      <c r="M840" s="66" t="n">
        <f aca="false">DATE(YEAR(B840),MONTH(B840),1)</f>
        <v>45870</v>
      </c>
      <c r="N840" s="35" t="str">
        <f aca="false">IF(G840="","Unknown",G840)</f>
        <v>Kolkata</v>
      </c>
      <c r="O840" s="35" t="str">
        <f aca="false">IF(E840="","Unknown",IF(E840&lt;=25,"18-25",IF(E840&lt;=35,"26-35",IF(E840&lt;=45,"36-45",IF(E840&lt;=55,"46-55","56-65")))))</f>
        <v>26-35</v>
      </c>
      <c r="P840" s="35" t="n">
        <f aca="false">COUNTIF($C$2:$C$1001,C840)</f>
        <v>1</v>
      </c>
      <c r="Q840" s="35" t="n">
        <f aca="false">IF(COUNTIF($C$2:C840,C840)=1,1,0)</f>
        <v>1</v>
      </c>
    </row>
    <row r="841" customFormat="false" ht="15" hidden="false" customHeight="false" outlineLevel="0" collapsed="false">
      <c r="A841" s="35" t="s">
        <v>2278</v>
      </c>
      <c r="B841" s="64" t="n">
        <v>45763</v>
      </c>
      <c r="C841" s="35" t="s">
        <v>2279</v>
      </c>
      <c r="D841" s="35" t="s">
        <v>911</v>
      </c>
      <c r="E841" s="35" t="n">
        <v>26</v>
      </c>
      <c r="F841" s="35" t="s">
        <v>234</v>
      </c>
      <c r="G841" s="35" t="s">
        <v>219</v>
      </c>
      <c r="H841" s="35" t="s">
        <v>210</v>
      </c>
      <c r="I841" s="35" t="s">
        <v>201</v>
      </c>
      <c r="J841" s="35" t="n">
        <v>10</v>
      </c>
      <c r="K841" s="65" t="n">
        <v>35093.39</v>
      </c>
      <c r="L841" s="65" t="n">
        <v>350933.9</v>
      </c>
      <c r="M841" s="66" t="n">
        <f aca="false">DATE(YEAR(B841),MONTH(B841),1)</f>
        <v>45748</v>
      </c>
      <c r="N841" s="35" t="str">
        <f aca="false">IF(G841="","Unknown",G841)</f>
        <v>Mumbai</v>
      </c>
      <c r="O841" s="35" t="str">
        <f aca="false">IF(E841="","Unknown",IF(E841&lt;=25,"18-25",IF(E841&lt;=35,"26-35",IF(E841&lt;=45,"36-45",IF(E841&lt;=55,"46-55","56-65")))))</f>
        <v>26-35</v>
      </c>
      <c r="P841" s="35" t="n">
        <f aca="false">COUNTIF($C$2:$C$1001,C841)</f>
        <v>1</v>
      </c>
      <c r="Q841" s="35" t="n">
        <f aca="false">IF(COUNTIF($C$2:C841,C841)=1,1,0)</f>
        <v>1</v>
      </c>
    </row>
    <row r="842" customFormat="false" ht="15" hidden="false" customHeight="false" outlineLevel="0" collapsed="false">
      <c r="A842" s="35" t="s">
        <v>2280</v>
      </c>
      <c r="B842" s="64" t="n">
        <v>45967</v>
      </c>
      <c r="C842" s="35" t="s">
        <v>2281</v>
      </c>
      <c r="D842" s="35" t="s">
        <v>1040</v>
      </c>
      <c r="E842" s="35" t="n">
        <v>43</v>
      </c>
      <c r="F842" s="35" t="s">
        <v>235</v>
      </c>
      <c r="G842" s="35" t="s">
        <v>221</v>
      </c>
      <c r="H842" s="35" t="s">
        <v>210</v>
      </c>
      <c r="I842" s="35" t="s">
        <v>201</v>
      </c>
      <c r="J842" s="35" t="n">
        <v>3</v>
      </c>
      <c r="K842" s="65" t="n">
        <v>22843.06</v>
      </c>
      <c r="L842" s="65" t="n">
        <v>68529.18</v>
      </c>
      <c r="M842" s="66" t="n">
        <f aca="false">DATE(YEAR(B842),MONTH(B842),1)</f>
        <v>45962</v>
      </c>
      <c r="N842" s="35" t="str">
        <f aca="false">IF(G842="","Unknown",G842)</f>
        <v>Delhi</v>
      </c>
      <c r="O842" s="35" t="str">
        <f aca="false">IF(E842="","Unknown",IF(E842&lt;=25,"18-25",IF(E842&lt;=35,"26-35",IF(E842&lt;=45,"36-45",IF(E842&lt;=55,"46-55","56-65")))))</f>
        <v>36-45</v>
      </c>
      <c r="P842" s="35" t="n">
        <f aca="false">COUNTIF($C$2:$C$1001,C842)</f>
        <v>1</v>
      </c>
      <c r="Q842" s="35" t="n">
        <f aca="false">IF(COUNTIF($C$2:C842,C842)=1,1,0)</f>
        <v>1</v>
      </c>
    </row>
    <row r="843" customFormat="false" ht="15" hidden="false" customHeight="false" outlineLevel="0" collapsed="false">
      <c r="A843" s="35" t="s">
        <v>2282</v>
      </c>
      <c r="B843" s="64" t="n">
        <v>45813</v>
      </c>
      <c r="C843" s="35" t="s">
        <v>2283</v>
      </c>
      <c r="D843" s="35" t="s">
        <v>1587</v>
      </c>
      <c r="E843" s="35" t="n">
        <v>42</v>
      </c>
      <c r="F843" s="35" t="s">
        <v>235</v>
      </c>
      <c r="G843" s="35" t="s">
        <v>220</v>
      </c>
      <c r="H843" s="35" t="s">
        <v>210</v>
      </c>
      <c r="I843" s="35" t="s">
        <v>201</v>
      </c>
      <c r="J843" s="35" t="n">
        <v>7</v>
      </c>
      <c r="K843" s="65" t="n">
        <v>38502.79</v>
      </c>
      <c r="L843" s="65" t="n">
        <v>269519.53</v>
      </c>
      <c r="M843" s="66" t="n">
        <f aca="false">DATE(YEAR(B843),MONTH(B843),1)</f>
        <v>45809</v>
      </c>
      <c r="N843" s="35" t="str">
        <f aca="false">IF(G843="","Unknown",G843)</f>
        <v>Hyderabad</v>
      </c>
      <c r="O843" s="35" t="str">
        <f aca="false">IF(E843="","Unknown",IF(E843&lt;=25,"18-25",IF(E843&lt;=35,"26-35",IF(E843&lt;=45,"36-45",IF(E843&lt;=55,"46-55","56-65")))))</f>
        <v>36-45</v>
      </c>
      <c r="P843" s="35" t="n">
        <f aca="false">COUNTIF($C$2:$C$1001,C843)</f>
        <v>1</v>
      </c>
      <c r="Q843" s="35" t="n">
        <f aca="false">IF(COUNTIF($C$2:C843,C843)=1,1,0)</f>
        <v>1</v>
      </c>
    </row>
    <row r="844" customFormat="false" ht="15" hidden="false" customHeight="false" outlineLevel="0" collapsed="false">
      <c r="A844" s="35" t="s">
        <v>2284</v>
      </c>
      <c r="B844" s="64" t="n">
        <v>45891</v>
      </c>
      <c r="C844" s="35" t="s">
        <v>2285</v>
      </c>
      <c r="D844" s="35" t="s">
        <v>2286</v>
      </c>
      <c r="E844" s="35" t="n">
        <v>32</v>
      </c>
      <c r="F844" s="35" t="s">
        <v>234</v>
      </c>
      <c r="G844" s="35" t="s">
        <v>216</v>
      </c>
      <c r="H844" s="35" t="s">
        <v>209</v>
      </c>
      <c r="I844" s="35" t="s">
        <v>200</v>
      </c>
      <c r="J844" s="35" t="n">
        <v>5</v>
      </c>
      <c r="K844" s="65" t="n">
        <v>45283.42</v>
      </c>
      <c r="L844" s="65" t="n">
        <v>226417.1</v>
      </c>
      <c r="M844" s="66" t="n">
        <f aca="false">DATE(YEAR(B844),MONTH(B844),1)</f>
        <v>45870</v>
      </c>
      <c r="N844" s="35" t="str">
        <f aca="false">IF(G844="","Unknown",G844)</f>
        <v>Patna</v>
      </c>
      <c r="O844" s="35" t="str">
        <f aca="false">IF(E844="","Unknown",IF(E844&lt;=25,"18-25",IF(E844&lt;=35,"26-35",IF(E844&lt;=45,"36-45",IF(E844&lt;=55,"46-55","56-65")))))</f>
        <v>26-35</v>
      </c>
      <c r="P844" s="35" t="n">
        <f aca="false">COUNTIF($C$2:$C$1001,C844)</f>
        <v>1</v>
      </c>
      <c r="Q844" s="35" t="n">
        <f aca="false">IF(COUNTIF($C$2:C844,C844)=1,1,0)</f>
        <v>1</v>
      </c>
    </row>
    <row r="845" customFormat="false" ht="15" hidden="false" customHeight="false" outlineLevel="0" collapsed="false">
      <c r="A845" s="35" t="s">
        <v>2287</v>
      </c>
      <c r="B845" s="64" t="n">
        <v>45968</v>
      </c>
      <c r="C845" s="35" t="s">
        <v>2288</v>
      </c>
      <c r="D845" s="35" t="s">
        <v>557</v>
      </c>
      <c r="E845" s="35" t="n">
        <v>42</v>
      </c>
      <c r="F845" s="35" t="s">
        <v>235</v>
      </c>
      <c r="G845" s="35" t="s">
        <v>216</v>
      </c>
      <c r="H845" s="35" t="s">
        <v>209</v>
      </c>
      <c r="I845" s="35" t="s">
        <v>200</v>
      </c>
      <c r="J845" s="35" t="n">
        <v>6</v>
      </c>
      <c r="K845" s="65" t="n">
        <v>37149.97</v>
      </c>
      <c r="L845" s="65" t="n">
        <v>222899.82</v>
      </c>
      <c r="M845" s="66" t="n">
        <f aca="false">DATE(YEAR(B845),MONTH(B845),1)</f>
        <v>45962</v>
      </c>
      <c r="N845" s="35" t="str">
        <f aca="false">IF(G845="","Unknown",G845)</f>
        <v>Patna</v>
      </c>
      <c r="O845" s="35" t="str">
        <f aca="false">IF(E845="","Unknown",IF(E845&lt;=25,"18-25",IF(E845&lt;=35,"26-35",IF(E845&lt;=45,"36-45",IF(E845&lt;=55,"46-55","56-65")))))</f>
        <v>36-45</v>
      </c>
      <c r="P845" s="35" t="n">
        <f aca="false">COUNTIF($C$2:$C$1001,C845)</f>
        <v>1</v>
      </c>
      <c r="Q845" s="35" t="n">
        <f aca="false">IF(COUNTIF($C$2:C845,C845)=1,1,0)</f>
        <v>1</v>
      </c>
    </row>
    <row r="846" customFormat="false" ht="15" hidden="false" customHeight="false" outlineLevel="0" collapsed="false">
      <c r="A846" s="35" t="s">
        <v>2289</v>
      </c>
      <c r="B846" s="64" t="n">
        <v>45929</v>
      </c>
      <c r="C846" s="35" t="s">
        <v>2290</v>
      </c>
      <c r="D846" s="35" t="s">
        <v>847</v>
      </c>
      <c r="E846" s="35" t="n">
        <v>65</v>
      </c>
      <c r="F846" s="35" t="s">
        <v>235</v>
      </c>
      <c r="G846" s="35" t="s">
        <v>217</v>
      </c>
      <c r="H846" s="35" t="s">
        <v>210</v>
      </c>
      <c r="I846" s="35" t="s">
        <v>201</v>
      </c>
      <c r="J846" s="35" t="n">
        <v>7</v>
      </c>
      <c r="K846" s="65" t="n">
        <v>23566.47</v>
      </c>
      <c r="L846" s="65" t="n">
        <v>164965.29</v>
      </c>
      <c r="M846" s="66" t="n">
        <f aca="false">DATE(YEAR(B846),MONTH(B846),1)</f>
        <v>45901</v>
      </c>
      <c r="N846" s="35" t="str">
        <f aca="false">IF(G846="","Unknown",G846)</f>
        <v>Kolkata</v>
      </c>
      <c r="O846" s="35" t="str">
        <f aca="false">IF(E846="","Unknown",IF(E846&lt;=25,"18-25",IF(E846&lt;=35,"26-35",IF(E846&lt;=45,"36-45",IF(E846&lt;=55,"46-55","56-65")))))</f>
        <v>56-65</v>
      </c>
      <c r="P846" s="35" t="n">
        <f aca="false">COUNTIF($C$2:$C$1001,C846)</f>
        <v>1</v>
      </c>
      <c r="Q846" s="35" t="n">
        <f aca="false">IF(COUNTIF($C$2:C846,C846)=1,1,0)</f>
        <v>1</v>
      </c>
    </row>
    <row r="847" customFormat="false" ht="15" hidden="false" customHeight="false" outlineLevel="0" collapsed="false">
      <c r="A847" s="35" t="s">
        <v>2291</v>
      </c>
      <c r="B847" s="64" t="n">
        <v>45969</v>
      </c>
      <c r="C847" s="35" t="s">
        <v>2292</v>
      </c>
      <c r="D847" s="35" t="s">
        <v>765</v>
      </c>
      <c r="E847" s="35" t="n">
        <v>57</v>
      </c>
      <c r="F847" s="35" t="s">
        <v>234</v>
      </c>
      <c r="G847" s="35" t="s">
        <v>216</v>
      </c>
      <c r="H847" s="35" t="s">
        <v>213</v>
      </c>
      <c r="I847" s="35" t="s">
        <v>204</v>
      </c>
      <c r="J847" s="35" t="n">
        <v>10</v>
      </c>
      <c r="K847" s="65" t="n">
        <v>1557.12</v>
      </c>
      <c r="L847" s="65" t="n">
        <v>15571.2</v>
      </c>
      <c r="M847" s="66" t="n">
        <f aca="false">DATE(YEAR(B847),MONTH(B847),1)</f>
        <v>45962</v>
      </c>
      <c r="N847" s="35" t="str">
        <f aca="false">IF(G847="","Unknown",G847)</f>
        <v>Patna</v>
      </c>
      <c r="O847" s="35" t="str">
        <f aca="false">IF(E847="","Unknown",IF(E847&lt;=25,"18-25",IF(E847&lt;=35,"26-35",IF(E847&lt;=45,"36-45",IF(E847&lt;=55,"46-55","56-65")))))</f>
        <v>56-65</v>
      </c>
      <c r="P847" s="35" t="n">
        <f aca="false">COUNTIF($C$2:$C$1001,C847)</f>
        <v>1</v>
      </c>
      <c r="Q847" s="35" t="n">
        <f aca="false">IF(COUNTIF($C$2:C847,C847)=1,1,0)</f>
        <v>1</v>
      </c>
    </row>
    <row r="848" customFormat="false" ht="15" hidden="false" customHeight="false" outlineLevel="0" collapsed="false">
      <c r="A848" s="35" t="s">
        <v>2293</v>
      </c>
      <c r="B848" s="64" t="n">
        <v>45744</v>
      </c>
      <c r="C848" s="35" t="s">
        <v>2294</v>
      </c>
      <c r="D848" s="35" t="s">
        <v>2295</v>
      </c>
      <c r="E848" s="35" t="n">
        <v>21</v>
      </c>
      <c r="F848" s="35" t="s">
        <v>234</v>
      </c>
      <c r="G848" s="35" t="s">
        <v>216</v>
      </c>
      <c r="H848" s="35" t="s">
        <v>210</v>
      </c>
      <c r="I848" s="35" t="s">
        <v>201</v>
      </c>
      <c r="J848" s="35" t="n">
        <v>1</v>
      </c>
      <c r="K848" s="65" t="n">
        <v>38929.37</v>
      </c>
      <c r="L848" s="65" t="n">
        <v>38929.37</v>
      </c>
      <c r="M848" s="66" t="n">
        <f aca="false">DATE(YEAR(B848),MONTH(B848),1)</f>
        <v>45717</v>
      </c>
      <c r="N848" s="35" t="str">
        <f aca="false">IF(G848="","Unknown",G848)</f>
        <v>Patna</v>
      </c>
      <c r="O848" s="35" t="str">
        <f aca="false">IF(E848="","Unknown",IF(E848&lt;=25,"18-25",IF(E848&lt;=35,"26-35",IF(E848&lt;=45,"36-45",IF(E848&lt;=55,"46-55","56-65")))))</f>
        <v>18-25</v>
      </c>
      <c r="P848" s="35" t="n">
        <f aca="false">COUNTIF($C$2:$C$1001,C848)</f>
        <v>1</v>
      </c>
      <c r="Q848" s="35" t="n">
        <f aca="false">IF(COUNTIF($C$2:C848,C848)=1,1,0)</f>
        <v>1</v>
      </c>
    </row>
    <row r="849" customFormat="false" ht="15" hidden="false" customHeight="false" outlineLevel="0" collapsed="false">
      <c r="A849" s="35" t="s">
        <v>2296</v>
      </c>
      <c r="B849" s="64" t="n">
        <v>45733</v>
      </c>
      <c r="C849" s="35" t="s">
        <v>2297</v>
      </c>
      <c r="D849" s="35" t="s">
        <v>1942</v>
      </c>
      <c r="E849" s="35" t="n">
        <v>26</v>
      </c>
      <c r="F849" s="35" t="s">
        <v>234</v>
      </c>
      <c r="G849" s="35" t="s">
        <v>218</v>
      </c>
      <c r="H849" s="35" t="s">
        <v>212</v>
      </c>
      <c r="I849" s="35" t="s">
        <v>203</v>
      </c>
      <c r="J849" s="35" t="n">
        <v>2</v>
      </c>
      <c r="K849" s="65" t="n">
        <v>43357.83</v>
      </c>
      <c r="L849" s="65" t="n">
        <v>86715.66</v>
      </c>
      <c r="M849" s="66" t="n">
        <f aca="false">DATE(YEAR(B849),MONTH(B849),1)</f>
        <v>45717</v>
      </c>
      <c r="N849" s="35" t="str">
        <f aca="false">IF(G849="","Unknown",G849)</f>
        <v>Bengaluru</v>
      </c>
      <c r="O849" s="35" t="str">
        <f aca="false">IF(E849="","Unknown",IF(E849&lt;=25,"18-25",IF(E849&lt;=35,"26-35",IF(E849&lt;=45,"36-45",IF(E849&lt;=55,"46-55","56-65")))))</f>
        <v>26-35</v>
      </c>
      <c r="P849" s="35" t="n">
        <f aca="false">COUNTIF($C$2:$C$1001,C849)</f>
        <v>1</v>
      </c>
      <c r="Q849" s="35" t="n">
        <f aca="false">IF(COUNTIF($C$2:C849,C849)=1,1,0)</f>
        <v>1</v>
      </c>
    </row>
    <row r="850" customFormat="false" ht="15" hidden="false" customHeight="false" outlineLevel="0" collapsed="false">
      <c r="A850" s="35" t="s">
        <v>2298</v>
      </c>
      <c r="B850" s="64" t="n">
        <v>45759</v>
      </c>
      <c r="C850" s="35" t="s">
        <v>2299</v>
      </c>
      <c r="D850" s="35" t="s">
        <v>648</v>
      </c>
      <c r="E850" s="35"/>
      <c r="F850" s="35" t="s">
        <v>234</v>
      </c>
      <c r="G850" s="35" t="s">
        <v>217</v>
      </c>
      <c r="H850" s="35" t="s">
        <v>211</v>
      </c>
      <c r="I850" s="35" t="s">
        <v>202</v>
      </c>
      <c r="J850" s="35" t="n">
        <v>9</v>
      </c>
      <c r="K850" s="65" t="n">
        <v>30091.26</v>
      </c>
      <c r="L850" s="65" t="n">
        <v>270821.34</v>
      </c>
      <c r="M850" s="66" t="n">
        <f aca="false">DATE(YEAR(B850),MONTH(B850),1)</f>
        <v>45748</v>
      </c>
      <c r="N850" s="35" t="str">
        <f aca="false">IF(G850="","Unknown",G850)</f>
        <v>Kolkata</v>
      </c>
      <c r="O850" s="35" t="str">
        <f aca="false">IF(E850="","Unknown",IF(E850&lt;=25,"18-25",IF(E850&lt;=35,"26-35",IF(E850&lt;=45,"36-45",IF(E850&lt;=55,"46-55","56-65")))))</f>
        <v>Unknown</v>
      </c>
      <c r="P850" s="35" t="n">
        <f aca="false">COUNTIF($C$2:$C$1001,C850)</f>
        <v>1</v>
      </c>
      <c r="Q850" s="35" t="n">
        <f aca="false">IF(COUNTIF($C$2:C850,C850)=1,1,0)</f>
        <v>1</v>
      </c>
    </row>
    <row r="851" customFormat="false" ht="15" hidden="false" customHeight="false" outlineLevel="0" collapsed="false">
      <c r="A851" s="35" t="s">
        <v>2300</v>
      </c>
      <c r="B851" s="64" t="n">
        <v>45837</v>
      </c>
      <c r="C851" s="35" t="s">
        <v>2301</v>
      </c>
      <c r="D851" s="35" t="s">
        <v>1347</v>
      </c>
      <c r="E851" s="35" t="n">
        <v>19</v>
      </c>
      <c r="F851" s="35" t="s">
        <v>234</v>
      </c>
      <c r="G851" s="35" t="s">
        <v>223</v>
      </c>
      <c r="H851" s="35" t="s">
        <v>212</v>
      </c>
      <c r="I851" s="35" t="s">
        <v>203</v>
      </c>
      <c r="J851" s="35" t="n">
        <v>10</v>
      </c>
      <c r="K851" s="65" t="n">
        <v>3051.95</v>
      </c>
      <c r="L851" s="65" t="n">
        <v>30519.5</v>
      </c>
      <c r="M851" s="66" t="n">
        <f aca="false">DATE(YEAR(B851),MONTH(B851),1)</f>
        <v>45809</v>
      </c>
      <c r="N851" s="35" t="str">
        <f aca="false">IF(G851="","Unknown",G851)</f>
        <v>Gaya</v>
      </c>
      <c r="O851" s="35" t="str">
        <f aca="false">IF(E851="","Unknown",IF(E851&lt;=25,"18-25",IF(E851&lt;=35,"26-35",IF(E851&lt;=45,"36-45",IF(E851&lt;=55,"46-55","56-65")))))</f>
        <v>18-25</v>
      </c>
      <c r="P851" s="35" t="n">
        <f aca="false">COUNTIF($C$2:$C$1001,C851)</f>
        <v>1</v>
      </c>
      <c r="Q851" s="35" t="n">
        <f aca="false">IF(COUNTIF($C$2:C851,C851)=1,1,0)</f>
        <v>1</v>
      </c>
    </row>
    <row r="852" customFormat="false" ht="15" hidden="false" customHeight="false" outlineLevel="0" collapsed="false">
      <c r="A852" s="35" t="s">
        <v>2302</v>
      </c>
      <c r="B852" s="64" t="n">
        <v>45809</v>
      </c>
      <c r="C852" s="35" t="s">
        <v>2303</v>
      </c>
      <c r="D852" s="35" t="s">
        <v>982</v>
      </c>
      <c r="E852" s="35" t="n">
        <v>20</v>
      </c>
      <c r="F852" s="35" t="s">
        <v>235</v>
      </c>
      <c r="G852" s="35" t="s">
        <v>219</v>
      </c>
      <c r="H852" s="35" t="s">
        <v>213</v>
      </c>
      <c r="I852" s="35" t="s">
        <v>204</v>
      </c>
      <c r="J852" s="35" t="n">
        <v>3</v>
      </c>
      <c r="K852" s="65" t="n">
        <v>31063.57</v>
      </c>
      <c r="L852" s="65" t="n">
        <v>93190.71</v>
      </c>
      <c r="M852" s="66" t="n">
        <f aca="false">DATE(YEAR(B852),MONTH(B852),1)</f>
        <v>45809</v>
      </c>
      <c r="N852" s="35" t="str">
        <f aca="false">IF(G852="","Unknown",G852)</f>
        <v>Mumbai</v>
      </c>
      <c r="O852" s="35" t="str">
        <f aca="false">IF(E852="","Unknown",IF(E852&lt;=25,"18-25",IF(E852&lt;=35,"26-35",IF(E852&lt;=45,"36-45",IF(E852&lt;=55,"46-55","56-65")))))</f>
        <v>18-25</v>
      </c>
      <c r="P852" s="35" t="n">
        <f aca="false">COUNTIF($C$2:$C$1001,C852)</f>
        <v>1</v>
      </c>
      <c r="Q852" s="35" t="n">
        <f aca="false">IF(COUNTIF($C$2:C852,C852)=1,1,0)</f>
        <v>1</v>
      </c>
    </row>
    <row r="853" customFormat="false" ht="15" hidden="false" customHeight="false" outlineLevel="0" collapsed="false">
      <c r="A853" s="35" t="s">
        <v>2304</v>
      </c>
      <c r="B853" s="64" t="n">
        <v>45733</v>
      </c>
      <c r="C853" s="35" t="s">
        <v>2305</v>
      </c>
      <c r="D853" s="35" t="s">
        <v>1966</v>
      </c>
      <c r="E853" s="35" t="n">
        <v>23</v>
      </c>
      <c r="F853" s="35" t="s">
        <v>234</v>
      </c>
      <c r="G853" s="35" t="s">
        <v>221</v>
      </c>
      <c r="H853" s="35" t="s">
        <v>211</v>
      </c>
      <c r="I853" s="35" t="s">
        <v>202</v>
      </c>
      <c r="J853" s="35" t="n">
        <v>10</v>
      </c>
      <c r="K853" s="65" t="n">
        <v>5580.23</v>
      </c>
      <c r="L853" s="65" t="n">
        <v>55802.3</v>
      </c>
      <c r="M853" s="66" t="n">
        <f aca="false">DATE(YEAR(B853),MONTH(B853),1)</f>
        <v>45717</v>
      </c>
      <c r="N853" s="35" t="str">
        <f aca="false">IF(G853="","Unknown",G853)</f>
        <v>Delhi</v>
      </c>
      <c r="O853" s="35" t="str">
        <f aca="false">IF(E853="","Unknown",IF(E853&lt;=25,"18-25",IF(E853&lt;=35,"26-35",IF(E853&lt;=45,"36-45",IF(E853&lt;=55,"46-55","56-65")))))</f>
        <v>18-25</v>
      </c>
      <c r="P853" s="35" t="n">
        <f aca="false">COUNTIF($C$2:$C$1001,C853)</f>
        <v>1</v>
      </c>
      <c r="Q853" s="35" t="n">
        <f aca="false">IF(COUNTIF($C$2:C853,C853)=1,1,0)</f>
        <v>1</v>
      </c>
    </row>
    <row r="854" customFormat="false" ht="15" hidden="false" customHeight="false" outlineLevel="0" collapsed="false">
      <c r="A854" s="35" t="s">
        <v>2306</v>
      </c>
      <c r="B854" s="64" t="n">
        <v>45833</v>
      </c>
      <c r="C854" s="35" t="s">
        <v>2307</v>
      </c>
      <c r="D854" s="35" t="s">
        <v>1270</v>
      </c>
      <c r="E854" s="35" t="n">
        <v>40</v>
      </c>
      <c r="F854" s="35" t="s">
        <v>234</v>
      </c>
      <c r="G854" s="35" t="s">
        <v>222</v>
      </c>
      <c r="H854" s="35" t="s">
        <v>210</v>
      </c>
      <c r="I854" s="35" t="s">
        <v>201</v>
      </c>
      <c r="J854" s="35" t="n">
        <v>8</v>
      </c>
      <c r="K854" s="65" t="n">
        <v>35859.94</v>
      </c>
      <c r="L854" s="65" t="n">
        <v>286879.52</v>
      </c>
      <c r="M854" s="66" t="n">
        <f aca="false">DATE(YEAR(B854),MONTH(B854),1)</f>
        <v>45809</v>
      </c>
      <c r="N854" s="35" t="str">
        <f aca="false">IF(G854="","Unknown",G854)</f>
        <v>Pune</v>
      </c>
      <c r="O854" s="35" t="str">
        <f aca="false">IF(E854="","Unknown",IF(E854&lt;=25,"18-25",IF(E854&lt;=35,"26-35",IF(E854&lt;=45,"36-45",IF(E854&lt;=55,"46-55","56-65")))))</f>
        <v>36-45</v>
      </c>
      <c r="P854" s="35" t="n">
        <f aca="false">COUNTIF($C$2:$C$1001,C854)</f>
        <v>1</v>
      </c>
      <c r="Q854" s="35" t="n">
        <f aca="false">IF(COUNTIF($C$2:C854,C854)=1,1,0)</f>
        <v>1</v>
      </c>
    </row>
    <row r="855" customFormat="false" ht="15" hidden="false" customHeight="false" outlineLevel="0" collapsed="false">
      <c r="A855" s="35" t="s">
        <v>2308</v>
      </c>
      <c r="B855" s="64" t="n">
        <v>45796</v>
      </c>
      <c r="C855" s="35" t="s">
        <v>2309</v>
      </c>
      <c r="D855" s="35" t="s">
        <v>1311</v>
      </c>
      <c r="E855" s="35" t="n">
        <v>48</v>
      </c>
      <c r="F855" s="35" t="s">
        <v>234</v>
      </c>
      <c r="G855" s="35" t="s">
        <v>216</v>
      </c>
      <c r="H855" s="35" t="s">
        <v>213</v>
      </c>
      <c r="I855" s="35" t="s">
        <v>204</v>
      </c>
      <c r="J855" s="35" t="n">
        <v>5</v>
      </c>
      <c r="K855" s="65" t="n">
        <v>47893</v>
      </c>
      <c r="L855" s="65" t="n">
        <v>239465</v>
      </c>
      <c r="M855" s="66" t="n">
        <f aca="false">DATE(YEAR(B855),MONTH(B855),1)</f>
        <v>45778</v>
      </c>
      <c r="N855" s="35" t="str">
        <f aca="false">IF(G855="","Unknown",G855)</f>
        <v>Patna</v>
      </c>
      <c r="O855" s="35" t="str">
        <f aca="false">IF(E855="","Unknown",IF(E855&lt;=25,"18-25",IF(E855&lt;=35,"26-35",IF(E855&lt;=45,"36-45",IF(E855&lt;=55,"46-55","56-65")))))</f>
        <v>46-55</v>
      </c>
      <c r="P855" s="35" t="n">
        <f aca="false">COUNTIF($C$2:$C$1001,C855)</f>
        <v>1</v>
      </c>
      <c r="Q855" s="35" t="n">
        <f aca="false">IF(COUNTIF($C$2:C855,C855)=1,1,0)</f>
        <v>1</v>
      </c>
    </row>
    <row r="856" customFormat="false" ht="15" hidden="false" customHeight="false" outlineLevel="0" collapsed="false">
      <c r="A856" s="35" t="s">
        <v>2310</v>
      </c>
      <c r="B856" s="64" t="n">
        <v>45803</v>
      </c>
      <c r="C856" s="35" t="s">
        <v>2311</v>
      </c>
      <c r="D856" s="35" t="s">
        <v>725</v>
      </c>
      <c r="E856" s="35" t="n">
        <v>37</v>
      </c>
      <c r="F856" s="35" t="s">
        <v>235</v>
      </c>
      <c r="G856" s="35" t="s">
        <v>218</v>
      </c>
      <c r="H856" s="35" t="s">
        <v>213</v>
      </c>
      <c r="I856" s="35" t="s">
        <v>204</v>
      </c>
      <c r="J856" s="35" t="n">
        <v>2</v>
      </c>
      <c r="K856" s="65" t="n">
        <v>47996.02</v>
      </c>
      <c r="L856" s="65" t="n">
        <v>95992.04</v>
      </c>
      <c r="M856" s="66" t="n">
        <f aca="false">DATE(YEAR(B856),MONTH(B856),1)</f>
        <v>45778</v>
      </c>
      <c r="N856" s="35" t="str">
        <f aca="false">IF(G856="","Unknown",G856)</f>
        <v>Bengaluru</v>
      </c>
      <c r="O856" s="35" t="str">
        <f aca="false">IF(E856="","Unknown",IF(E856&lt;=25,"18-25",IF(E856&lt;=35,"26-35",IF(E856&lt;=45,"36-45",IF(E856&lt;=55,"46-55","56-65")))))</f>
        <v>36-45</v>
      </c>
      <c r="P856" s="35" t="n">
        <f aca="false">COUNTIF($C$2:$C$1001,C856)</f>
        <v>1</v>
      </c>
      <c r="Q856" s="35" t="n">
        <f aca="false">IF(COUNTIF($C$2:C856,C856)=1,1,0)</f>
        <v>1</v>
      </c>
    </row>
    <row r="857" customFormat="false" ht="15" hidden="false" customHeight="false" outlineLevel="0" collapsed="false">
      <c r="A857" s="35" t="s">
        <v>2312</v>
      </c>
      <c r="B857" s="64" t="n">
        <v>45918</v>
      </c>
      <c r="C857" s="35" t="s">
        <v>2313</v>
      </c>
      <c r="D857" s="35" t="s">
        <v>2314</v>
      </c>
      <c r="E857" s="35" t="n">
        <v>24</v>
      </c>
      <c r="F857" s="35" t="s">
        <v>234</v>
      </c>
      <c r="G857" s="35" t="s">
        <v>217</v>
      </c>
      <c r="H857" s="35" t="s">
        <v>213</v>
      </c>
      <c r="I857" s="35" t="s">
        <v>204</v>
      </c>
      <c r="J857" s="35" t="n">
        <v>1</v>
      </c>
      <c r="K857" s="65" t="n">
        <v>42500.65</v>
      </c>
      <c r="L857" s="65" t="n">
        <v>42500.65</v>
      </c>
      <c r="M857" s="66" t="n">
        <f aca="false">DATE(YEAR(B857),MONTH(B857),1)</f>
        <v>45901</v>
      </c>
      <c r="N857" s="35" t="str">
        <f aca="false">IF(G857="","Unknown",G857)</f>
        <v>Kolkata</v>
      </c>
      <c r="O857" s="35" t="str">
        <f aca="false">IF(E857="","Unknown",IF(E857&lt;=25,"18-25",IF(E857&lt;=35,"26-35",IF(E857&lt;=45,"36-45",IF(E857&lt;=55,"46-55","56-65")))))</f>
        <v>18-25</v>
      </c>
      <c r="P857" s="35" t="n">
        <f aca="false">COUNTIF($C$2:$C$1001,C857)</f>
        <v>1</v>
      </c>
      <c r="Q857" s="35" t="n">
        <f aca="false">IF(COUNTIF($C$2:C857,C857)=1,1,0)</f>
        <v>1</v>
      </c>
    </row>
    <row r="858" customFormat="false" ht="15" hidden="false" customHeight="false" outlineLevel="0" collapsed="false">
      <c r="A858" s="35" t="s">
        <v>2315</v>
      </c>
      <c r="B858" s="64" t="n">
        <v>46011</v>
      </c>
      <c r="C858" s="35" t="s">
        <v>2316</v>
      </c>
      <c r="D858" s="35" t="s">
        <v>2317</v>
      </c>
      <c r="E858" s="35" t="n">
        <v>38</v>
      </c>
      <c r="F858" s="35" t="s">
        <v>235</v>
      </c>
      <c r="G858" s="35" t="s">
        <v>221</v>
      </c>
      <c r="H858" s="35" t="s">
        <v>211</v>
      </c>
      <c r="I858" s="35" t="s">
        <v>202</v>
      </c>
      <c r="J858" s="35" t="n">
        <v>8</v>
      </c>
      <c r="K858" s="65" t="n">
        <v>7543.31</v>
      </c>
      <c r="L858" s="65" t="n">
        <v>60346.48</v>
      </c>
      <c r="M858" s="66" t="n">
        <f aca="false">DATE(YEAR(B858),MONTH(B858),1)</f>
        <v>45992</v>
      </c>
      <c r="N858" s="35" t="str">
        <f aca="false">IF(G858="","Unknown",G858)</f>
        <v>Delhi</v>
      </c>
      <c r="O858" s="35" t="str">
        <f aca="false">IF(E858="","Unknown",IF(E858&lt;=25,"18-25",IF(E858&lt;=35,"26-35",IF(E858&lt;=45,"36-45",IF(E858&lt;=55,"46-55","56-65")))))</f>
        <v>36-45</v>
      </c>
      <c r="P858" s="35" t="n">
        <f aca="false">COUNTIF($C$2:$C$1001,C858)</f>
        <v>1</v>
      </c>
      <c r="Q858" s="35" t="n">
        <f aca="false">IF(COUNTIF($C$2:C858,C858)=1,1,0)</f>
        <v>1</v>
      </c>
    </row>
    <row r="859" customFormat="false" ht="15" hidden="false" customHeight="false" outlineLevel="0" collapsed="false">
      <c r="A859" s="35" t="s">
        <v>2318</v>
      </c>
      <c r="B859" s="64" t="n">
        <v>45866</v>
      </c>
      <c r="C859" s="35" t="s">
        <v>2319</v>
      </c>
      <c r="D859" s="35" t="s">
        <v>2320</v>
      </c>
      <c r="E859" s="35" t="n">
        <v>54</v>
      </c>
      <c r="F859" s="35" t="s">
        <v>235</v>
      </c>
      <c r="G859" s="35" t="s">
        <v>218</v>
      </c>
      <c r="H859" s="35" t="s">
        <v>210</v>
      </c>
      <c r="I859" s="35" t="s">
        <v>201</v>
      </c>
      <c r="J859" s="35" t="n">
        <v>4</v>
      </c>
      <c r="K859" s="65" t="n">
        <v>7779.34</v>
      </c>
      <c r="L859" s="65" t="n">
        <v>31117.36</v>
      </c>
      <c r="M859" s="66" t="n">
        <f aca="false">DATE(YEAR(B859),MONTH(B859),1)</f>
        <v>45839</v>
      </c>
      <c r="N859" s="35" t="str">
        <f aca="false">IF(G859="","Unknown",G859)</f>
        <v>Bengaluru</v>
      </c>
      <c r="O859" s="35" t="str">
        <f aca="false">IF(E859="","Unknown",IF(E859&lt;=25,"18-25",IF(E859&lt;=35,"26-35",IF(E859&lt;=45,"36-45",IF(E859&lt;=55,"46-55","56-65")))))</f>
        <v>46-55</v>
      </c>
      <c r="P859" s="35" t="n">
        <f aca="false">COUNTIF($C$2:$C$1001,C859)</f>
        <v>2</v>
      </c>
      <c r="Q859" s="35" t="n">
        <f aca="false">IF(COUNTIF($C$2:C859,C859)=1,1,0)</f>
        <v>1</v>
      </c>
    </row>
    <row r="860" customFormat="false" ht="15" hidden="false" customHeight="false" outlineLevel="0" collapsed="false">
      <c r="A860" s="35" t="s">
        <v>2321</v>
      </c>
      <c r="B860" s="64" t="n">
        <v>45848</v>
      </c>
      <c r="C860" s="35" t="s">
        <v>2322</v>
      </c>
      <c r="D860" s="35" t="s">
        <v>2323</v>
      </c>
      <c r="E860" s="35" t="n">
        <v>51</v>
      </c>
      <c r="F860" s="35" t="s">
        <v>235</v>
      </c>
      <c r="G860" s="35" t="s">
        <v>217</v>
      </c>
      <c r="H860" s="35" t="s">
        <v>209</v>
      </c>
      <c r="I860" s="35" t="s">
        <v>200</v>
      </c>
      <c r="J860" s="35" t="n">
        <v>6</v>
      </c>
      <c r="K860" s="65" t="n">
        <v>35959.07</v>
      </c>
      <c r="L860" s="65" t="n">
        <v>215754.42</v>
      </c>
      <c r="M860" s="66" t="n">
        <f aca="false">DATE(YEAR(B860),MONTH(B860),1)</f>
        <v>45839</v>
      </c>
      <c r="N860" s="35" t="str">
        <f aca="false">IF(G860="","Unknown",G860)</f>
        <v>Kolkata</v>
      </c>
      <c r="O860" s="35" t="str">
        <f aca="false">IF(E860="","Unknown",IF(E860&lt;=25,"18-25",IF(E860&lt;=35,"26-35",IF(E860&lt;=45,"36-45",IF(E860&lt;=55,"46-55","56-65")))))</f>
        <v>46-55</v>
      </c>
      <c r="P860" s="35" t="n">
        <f aca="false">COUNTIF($C$2:$C$1001,C860)</f>
        <v>1</v>
      </c>
      <c r="Q860" s="35" t="n">
        <f aca="false">IF(COUNTIF($C$2:C860,C860)=1,1,0)</f>
        <v>1</v>
      </c>
    </row>
    <row r="861" customFormat="false" ht="15" hidden="false" customHeight="false" outlineLevel="0" collapsed="false">
      <c r="A861" s="35" t="s">
        <v>2324</v>
      </c>
      <c r="B861" s="64" t="n">
        <v>45945</v>
      </c>
      <c r="C861" s="35" t="s">
        <v>2325</v>
      </c>
      <c r="D861" s="35" t="s">
        <v>350</v>
      </c>
      <c r="E861" s="35" t="n">
        <v>45</v>
      </c>
      <c r="F861" s="35" t="s">
        <v>234</v>
      </c>
      <c r="G861" s="35" t="s">
        <v>216</v>
      </c>
      <c r="H861" s="35" t="s">
        <v>209</v>
      </c>
      <c r="I861" s="35" t="s">
        <v>200</v>
      </c>
      <c r="J861" s="35" t="n">
        <v>7</v>
      </c>
      <c r="K861" s="65" t="n">
        <v>9471.49</v>
      </c>
      <c r="L861" s="65" t="n">
        <v>66300.43</v>
      </c>
      <c r="M861" s="66" t="n">
        <f aca="false">DATE(YEAR(B861),MONTH(B861),1)</f>
        <v>45931</v>
      </c>
      <c r="N861" s="35" t="str">
        <f aca="false">IF(G861="","Unknown",G861)</f>
        <v>Patna</v>
      </c>
      <c r="O861" s="35" t="str">
        <f aca="false">IF(E861="","Unknown",IF(E861&lt;=25,"18-25",IF(E861&lt;=35,"26-35",IF(E861&lt;=45,"36-45",IF(E861&lt;=55,"46-55","56-65")))))</f>
        <v>36-45</v>
      </c>
      <c r="P861" s="35" t="n">
        <f aca="false">COUNTIF($C$2:$C$1001,C861)</f>
        <v>1</v>
      </c>
      <c r="Q861" s="35" t="n">
        <f aca="false">IF(COUNTIF($C$2:C861,C861)=1,1,0)</f>
        <v>1</v>
      </c>
    </row>
    <row r="862" customFormat="false" ht="15" hidden="false" customHeight="false" outlineLevel="0" collapsed="false">
      <c r="A862" s="35" t="s">
        <v>2326</v>
      </c>
      <c r="B862" s="64" t="n">
        <v>45928</v>
      </c>
      <c r="C862" s="35" t="s">
        <v>2327</v>
      </c>
      <c r="D862" s="35" t="s">
        <v>994</v>
      </c>
      <c r="E862" s="35" t="n">
        <v>62</v>
      </c>
      <c r="F862" s="35" t="s">
        <v>235</v>
      </c>
      <c r="G862" s="35" t="s">
        <v>223</v>
      </c>
      <c r="H862" s="35" t="s">
        <v>213</v>
      </c>
      <c r="I862" s="35" t="s">
        <v>204</v>
      </c>
      <c r="J862" s="35" t="n">
        <v>8</v>
      </c>
      <c r="K862" s="65" t="n">
        <v>26327.39</v>
      </c>
      <c r="L862" s="65" t="n">
        <v>210619.12</v>
      </c>
      <c r="M862" s="66" t="n">
        <f aca="false">DATE(YEAR(B862),MONTH(B862),1)</f>
        <v>45901</v>
      </c>
      <c r="N862" s="35" t="str">
        <f aca="false">IF(G862="","Unknown",G862)</f>
        <v>Gaya</v>
      </c>
      <c r="O862" s="35" t="str">
        <f aca="false">IF(E862="","Unknown",IF(E862&lt;=25,"18-25",IF(E862&lt;=35,"26-35",IF(E862&lt;=45,"36-45",IF(E862&lt;=55,"46-55","56-65")))))</f>
        <v>56-65</v>
      </c>
      <c r="P862" s="35" t="n">
        <f aca="false">COUNTIF($C$2:$C$1001,C862)</f>
        <v>1</v>
      </c>
      <c r="Q862" s="35" t="n">
        <f aca="false">IF(COUNTIF($C$2:C862,C862)=1,1,0)</f>
        <v>1</v>
      </c>
    </row>
    <row r="863" customFormat="false" ht="15" hidden="false" customHeight="false" outlineLevel="0" collapsed="false">
      <c r="A863" s="35" t="s">
        <v>2328</v>
      </c>
      <c r="B863" s="64" t="n">
        <v>45787</v>
      </c>
      <c r="C863" s="35" t="s">
        <v>1708</v>
      </c>
      <c r="D863" s="35" t="s">
        <v>546</v>
      </c>
      <c r="E863" s="35" t="n">
        <v>63</v>
      </c>
      <c r="F863" s="35" t="s">
        <v>235</v>
      </c>
      <c r="G863" s="35" t="s">
        <v>221</v>
      </c>
      <c r="H863" s="35" t="s">
        <v>212</v>
      </c>
      <c r="I863" s="35" t="s">
        <v>203</v>
      </c>
      <c r="J863" s="35" t="n">
        <v>9</v>
      </c>
      <c r="K863" s="65" t="n">
        <v>48313.36</v>
      </c>
      <c r="L863" s="65" t="n">
        <v>434820.24</v>
      </c>
      <c r="M863" s="66" t="n">
        <f aca="false">DATE(YEAR(B863),MONTH(B863),1)</f>
        <v>45778</v>
      </c>
      <c r="N863" s="35" t="str">
        <f aca="false">IF(G863="","Unknown",G863)</f>
        <v>Delhi</v>
      </c>
      <c r="O863" s="35" t="str">
        <f aca="false">IF(E863="","Unknown",IF(E863&lt;=25,"18-25",IF(E863&lt;=35,"26-35",IF(E863&lt;=45,"36-45",IF(E863&lt;=55,"46-55","56-65")))))</f>
        <v>56-65</v>
      </c>
      <c r="P863" s="35" t="n">
        <f aca="false">COUNTIF($C$2:$C$1001,C863)</f>
        <v>2</v>
      </c>
      <c r="Q863" s="35" t="n">
        <f aca="false">IF(COUNTIF($C$2:C863,C863)=1,1,0)</f>
        <v>0</v>
      </c>
    </row>
    <row r="864" customFormat="false" ht="15" hidden="false" customHeight="false" outlineLevel="0" collapsed="false">
      <c r="A864" s="35" t="s">
        <v>2329</v>
      </c>
      <c r="B864" s="64" t="n">
        <v>45981</v>
      </c>
      <c r="C864" s="35" t="s">
        <v>2330</v>
      </c>
      <c r="D864" s="35" t="s">
        <v>803</v>
      </c>
      <c r="E864" s="35" t="n">
        <v>19</v>
      </c>
      <c r="F864" s="35" t="s">
        <v>235</v>
      </c>
      <c r="G864" s="35" t="s">
        <v>222</v>
      </c>
      <c r="H864" s="35" t="s">
        <v>208</v>
      </c>
      <c r="I864" s="35" t="s">
        <v>200</v>
      </c>
      <c r="J864" s="35" t="n">
        <v>2</v>
      </c>
      <c r="K864" s="65" t="n">
        <v>45217.92</v>
      </c>
      <c r="L864" s="65" t="n">
        <v>90435.84</v>
      </c>
      <c r="M864" s="66" t="n">
        <f aca="false">DATE(YEAR(B864),MONTH(B864),1)</f>
        <v>45962</v>
      </c>
      <c r="N864" s="35" t="str">
        <f aca="false">IF(G864="","Unknown",G864)</f>
        <v>Pune</v>
      </c>
      <c r="O864" s="35" t="str">
        <f aca="false">IF(E864="","Unknown",IF(E864&lt;=25,"18-25",IF(E864&lt;=35,"26-35",IF(E864&lt;=45,"36-45",IF(E864&lt;=55,"46-55","56-65")))))</f>
        <v>18-25</v>
      </c>
      <c r="P864" s="35" t="n">
        <f aca="false">COUNTIF($C$2:$C$1001,C864)</f>
        <v>1</v>
      </c>
      <c r="Q864" s="35" t="n">
        <f aca="false">IF(COUNTIF($C$2:C864,C864)=1,1,0)</f>
        <v>1</v>
      </c>
    </row>
    <row r="865" customFormat="false" ht="15" hidden="false" customHeight="false" outlineLevel="0" collapsed="false">
      <c r="A865" s="35" t="s">
        <v>2331</v>
      </c>
      <c r="B865" s="64" t="n">
        <v>45858</v>
      </c>
      <c r="C865" s="35" t="s">
        <v>2332</v>
      </c>
      <c r="D865" s="35" t="s">
        <v>1394</v>
      </c>
      <c r="E865" s="35" t="n">
        <v>26</v>
      </c>
      <c r="F865" s="35" t="s">
        <v>235</v>
      </c>
      <c r="G865" s="35" t="s">
        <v>216</v>
      </c>
      <c r="H865" s="35" t="s">
        <v>212</v>
      </c>
      <c r="I865" s="35" t="s">
        <v>203</v>
      </c>
      <c r="J865" s="35" t="n">
        <v>2</v>
      </c>
      <c r="K865" s="65" t="n">
        <v>40130.21</v>
      </c>
      <c r="L865" s="65" t="n">
        <v>80260.42</v>
      </c>
      <c r="M865" s="66" t="n">
        <f aca="false">DATE(YEAR(B865),MONTH(B865),1)</f>
        <v>45839</v>
      </c>
      <c r="N865" s="35" t="str">
        <f aca="false">IF(G865="","Unknown",G865)</f>
        <v>Patna</v>
      </c>
      <c r="O865" s="35" t="str">
        <f aca="false">IF(E865="","Unknown",IF(E865&lt;=25,"18-25",IF(E865&lt;=35,"26-35",IF(E865&lt;=45,"36-45",IF(E865&lt;=55,"46-55","56-65")))))</f>
        <v>26-35</v>
      </c>
      <c r="P865" s="35" t="n">
        <f aca="false">COUNTIF($C$2:$C$1001,C865)</f>
        <v>1</v>
      </c>
      <c r="Q865" s="35" t="n">
        <f aca="false">IF(COUNTIF($C$2:C865,C865)=1,1,0)</f>
        <v>1</v>
      </c>
    </row>
    <row r="866" customFormat="false" ht="15" hidden="false" customHeight="false" outlineLevel="0" collapsed="false">
      <c r="A866" s="35" t="s">
        <v>2333</v>
      </c>
      <c r="B866" s="64" t="n">
        <v>46014</v>
      </c>
      <c r="C866" s="35" t="s">
        <v>2334</v>
      </c>
      <c r="D866" s="35" t="s">
        <v>260</v>
      </c>
      <c r="E866" s="35" t="n">
        <v>49</v>
      </c>
      <c r="F866" s="35" t="s">
        <v>235</v>
      </c>
      <c r="G866" s="35" t="s">
        <v>220</v>
      </c>
      <c r="H866" s="35" t="s">
        <v>212</v>
      </c>
      <c r="I866" s="35" t="s">
        <v>203</v>
      </c>
      <c r="J866" s="35" t="n">
        <v>7</v>
      </c>
      <c r="K866" s="65" t="n">
        <v>283.1</v>
      </c>
      <c r="L866" s="65" t="n">
        <v>1981.7</v>
      </c>
      <c r="M866" s="66" t="n">
        <f aca="false">DATE(YEAR(B866),MONTH(B866),1)</f>
        <v>45992</v>
      </c>
      <c r="N866" s="35" t="str">
        <f aca="false">IF(G866="","Unknown",G866)</f>
        <v>Hyderabad</v>
      </c>
      <c r="O866" s="35" t="str">
        <f aca="false">IF(E866="","Unknown",IF(E866&lt;=25,"18-25",IF(E866&lt;=35,"26-35",IF(E866&lt;=45,"36-45",IF(E866&lt;=55,"46-55","56-65")))))</f>
        <v>46-55</v>
      </c>
      <c r="P866" s="35" t="n">
        <f aca="false">COUNTIF($C$2:$C$1001,C866)</f>
        <v>1</v>
      </c>
      <c r="Q866" s="35" t="n">
        <f aca="false">IF(COUNTIF($C$2:C866,C866)=1,1,0)</f>
        <v>1</v>
      </c>
    </row>
    <row r="867" customFormat="false" ht="15" hidden="false" customHeight="false" outlineLevel="0" collapsed="false">
      <c r="A867" s="35" t="s">
        <v>2335</v>
      </c>
      <c r="B867" s="64" t="n">
        <v>45666</v>
      </c>
      <c r="C867" s="35" t="s">
        <v>2336</v>
      </c>
      <c r="D867" s="35" t="s">
        <v>347</v>
      </c>
      <c r="E867" s="35" t="n">
        <v>58</v>
      </c>
      <c r="F867" s="35" t="s">
        <v>234</v>
      </c>
      <c r="G867" s="35" t="s">
        <v>218</v>
      </c>
      <c r="H867" s="35" t="s">
        <v>212</v>
      </c>
      <c r="I867" s="35" t="s">
        <v>203</v>
      </c>
      <c r="J867" s="35" t="n">
        <v>5</v>
      </c>
      <c r="K867" s="65" t="n">
        <v>7521.13</v>
      </c>
      <c r="L867" s="65" t="n">
        <v>37605.65</v>
      </c>
      <c r="M867" s="66" t="n">
        <f aca="false">DATE(YEAR(B867),MONTH(B867),1)</f>
        <v>45658</v>
      </c>
      <c r="N867" s="35" t="str">
        <f aca="false">IF(G867="","Unknown",G867)</f>
        <v>Bengaluru</v>
      </c>
      <c r="O867" s="35" t="str">
        <f aca="false">IF(E867="","Unknown",IF(E867&lt;=25,"18-25",IF(E867&lt;=35,"26-35",IF(E867&lt;=45,"36-45",IF(E867&lt;=55,"46-55","56-65")))))</f>
        <v>56-65</v>
      </c>
      <c r="P867" s="35" t="n">
        <f aca="false">COUNTIF($C$2:$C$1001,C867)</f>
        <v>1</v>
      </c>
      <c r="Q867" s="35" t="n">
        <f aca="false">IF(COUNTIF($C$2:C867,C867)=1,1,0)</f>
        <v>1</v>
      </c>
    </row>
    <row r="868" customFormat="false" ht="15" hidden="false" customHeight="false" outlineLevel="0" collapsed="false">
      <c r="A868" s="35" t="s">
        <v>2337</v>
      </c>
      <c r="B868" s="64" t="n">
        <v>45822</v>
      </c>
      <c r="C868" s="35" t="s">
        <v>2338</v>
      </c>
      <c r="D868" s="35" t="s">
        <v>2339</v>
      </c>
      <c r="E868" s="35" t="n">
        <v>38</v>
      </c>
      <c r="F868" s="35" t="s">
        <v>234</v>
      </c>
      <c r="G868" s="35" t="s">
        <v>222</v>
      </c>
      <c r="H868" s="35" t="s">
        <v>213</v>
      </c>
      <c r="I868" s="35" t="s">
        <v>204</v>
      </c>
      <c r="J868" s="35" t="n">
        <v>5</v>
      </c>
      <c r="K868" s="65" t="n">
        <v>8055.03</v>
      </c>
      <c r="L868" s="65" t="n">
        <v>40275.15</v>
      </c>
      <c r="M868" s="66" t="n">
        <f aca="false">DATE(YEAR(B868),MONTH(B868),1)</f>
        <v>45809</v>
      </c>
      <c r="N868" s="35" t="str">
        <f aca="false">IF(G868="","Unknown",G868)</f>
        <v>Pune</v>
      </c>
      <c r="O868" s="35" t="str">
        <f aca="false">IF(E868="","Unknown",IF(E868&lt;=25,"18-25",IF(E868&lt;=35,"26-35",IF(E868&lt;=45,"36-45",IF(E868&lt;=55,"46-55","56-65")))))</f>
        <v>36-45</v>
      </c>
      <c r="P868" s="35" t="n">
        <f aca="false">COUNTIF($C$2:$C$1001,C868)</f>
        <v>1</v>
      </c>
      <c r="Q868" s="35" t="n">
        <f aca="false">IF(COUNTIF($C$2:C868,C868)=1,1,0)</f>
        <v>1</v>
      </c>
    </row>
    <row r="869" customFormat="false" ht="15" hidden="false" customHeight="false" outlineLevel="0" collapsed="false">
      <c r="A869" s="35" t="s">
        <v>2340</v>
      </c>
      <c r="B869" s="64" t="n">
        <v>46012</v>
      </c>
      <c r="C869" s="35" t="s">
        <v>820</v>
      </c>
      <c r="D869" s="35" t="s">
        <v>2323</v>
      </c>
      <c r="E869" s="35" t="n">
        <v>64</v>
      </c>
      <c r="F869" s="35" t="s">
        <v>234</v>
      </c>
      <c r="G869" s="35" t="s">
        <v>221</v>
      </c>
      <c r="H869" s="35" t="s">
        <v>210</v>
      </c>
      <c r="I869" s="35" t="s">
        <v>201</v>
      </c>
      <c r="J869" s="35" t="n">
        <v>4</v>
      </c>
      <c r="K869" s="65" t="n">
        <v>28263.33</v>
      </c>
      <c r="L869" s="65" t="n">
        <v>113053.32</v>
      </c>
      <c r="M869" s="66" t="n">
        <f aca="false">DATE(YEAR(B869),MONTH(B869),1)</f>
        <v>45992</v>
      </c>
      <c r="N869" s="35" t="str">
        <f aca="false">IF(G869="","Unknown",G869)</f>
        <v>Delhi</v>
      </c>
      <c r="O869" s="35" t="str">
        <f aca="false">IF(E869="","Unknown",IF(E869&lt;=25,"18-25",IF(E869&lt;=35,"26-35",IF(E869&lt;=45,"36-45",IF(E869&lt;=55,"46-55","56-65")))))</f>
        <v>56-65</v>
      </c>
      <c r="P869" s="35" t="n">
        <f aca="false">COUNTIF($C$2:$C$1001,C869)</f>
        <v>2</v>
      </c>
      <c r="Q869" s="35" t="n">
        <f aca="false">IF(COUNTIF($C$2:C869,C869)=1,1,0)</f>
        <v>0</v>
      </c>
    </row>
    <row r="870" customFormat="false" ht="15" hidden="false" customHeight="false" outlineLevel="0" collapsed="false">
      <c r="A870" s="35" t="s">
        <v>2341</v>
      </c>
      <c r="B870" s="64" t="n">
        <v>45912</v>
      </c>
      <c r="C870" s="35" t="s">
        <v>2342</v>
      </c>
      <c r="D870" s="35" t="s">
        <v>266</v>
      </c>
      <c r="E870" s="35" t="n">
        <v>33</v>
      </c>
      <c r="F870" s="35" t="s">
        <v>235</v>
      </c>
      <c r="G870" s="35" t="s">
        <v>217</v>
      </c>
      <c r="H870" s="35" t="s">
        <v>213</v>
      </c>
      <c r="I870" s="35" t="s">
        <v>204</v>
      </c>
      <c r="J870" s="35" t="n">
        <v>4</v>
      </c>
      <c r="K870" s="65" t="n">
        <v>12941.53</v>
      </c>
      <c r="L870" s="65" t="n">
        <v>51766.12</v>
      </c>
      <c r="M870" s="66" t="n">
        <f aca="false">DATE(YEAR(B870),MONTH(B870),1)</f>
        <v>45901</v>
      </c>
      <c r="N870" s="35" t="str">
        <f aca="false">IF(G870="","Unknown",G870)</f>
        <v>Kolkata</v>
      </c>
      <c r="O870" s="35" t="str">
        <f aca="false">IF(E870="","Unknown",IF(E870&lt;=25,"18-25",IF(E870&lt;=35,"26-35",IF(E870&lt;=45,"36-45",IF(E870&lt;=55,"46-55","56-65")))))</f>
        <v>26-35</v>
      </c>
      <c r="P870" s="35" t="n">
        <f aca="false">COUNTIF($C$2:$C$1001,C870)</f>
        <v>1</v>
      </c>
      <c r="Q870" s="35" t="n">
        <f aca="false">IF(COUNTIF($C$2:C870,C870)=1,1,0)</f>
        <v>1</v>
      </c>
    </row>
    <row r="871" customFormat="false" ht="15" hidden="false" customHeight="false" outlineLevel="0" collapsed="false">
      <c r="A871" s="35" t="s">
        <v>2343</v>
      </c>
      <c r="B871" s="64" t="n">
        <v>45732</v>
      </c>
      <c r="C871" s="35" t="s">
        <v>2344</v>
      </c>
      <c r="D871" s="35" t="s">
        <v>686</v>
      </c>
      <c r="E871" s="35" t="n">
        <v>22</v>
      </c>
      <c r="F871" s="35" t="s">
        <v>235</v>
      </c>
      <c r="G871" s="35" t="s">
        <v>222</v>
      </c>
      <c r="H871" s="35" t="s">
        <v>210</v>
      </c>
      <c r="I871" s="35" t="s">
        <v>201</v>
      </c>
      <c r="J871" s="35" t="n">
        <v>1</v>
      </c>
      <c r="K871" s="65" t="n">
        <v>27918.98</v>
      </c>
      <c r="L871" s="65" t="n">
        <v>27918.98</v>
      </c>
      <c r="M871" s="66" t="n">
        <f aca="false">DATE(YEAR(B871),MONTH(B871),1)</f>
        <v>45717</v>
      </c>
      <c r="N871" s="35" t="str">
        <f aca="false">IF(G871="","Unknown",G871)</f>
        <v>Pune</v>
      </c>
      <c r="O871" s="35" t="str">
        <f aca="false">IF(E871="","Unknown",IF(E871&lt;=25,"18-25",IF(E871&lt;=35,"26-35",IF(E871&lt;=45,"36-45",IF(E871&lt;=55,"46-55","56-65")))))</f>
        <v>18-25</v>
      </c>
      <c r="P871" s="35" t="n">
        <f aca="false">COUNTIF($C$2:$C$1001,C871)</f>
        <v>1</v>
      </c>
      <c r="Q871" s="35" t="n">
        <f aca="false">IF(COUNTIF($C$2:C871,C871)=1,1,0)</f>
        <v>1</v>
      </c>
    </row>
    <row r="872" customFormat="false" ht="15" hidden="false" customHeight="false" outlineLevel="0" collapsed="false">
      <c r="A872" s="35" t="s">
        <v>2345</v>
      </c>
      <c r="B872" s="64" t="n">
        <v>46014</v>
      </c>
      <c r="C872" s="35" t="s">
        <v>2346</v>
      </c>
      <c r="D872" s="35" t="s">
        <v>1997</v>
      </c>
      <c r="E872" s="35" t="n">
        <v>55</v>
      </c>
      <c r="F872" s="35" t="s">
        <v>234</v>
      </c>
      <c r="G872" s="35" t="s">
        <v>216</v>
      </c>
      <c r="H872" s="35" t="s">
        <v>209</v>
      </c>
      <c r="I872" s="35" t="s">
        <v>200</v>
      </c>
      <c r="J872" s="35" t="n">
        <v>3</v>
      </c>
      <c r="K872" s="65" t="n">
        <v>21349.35</v>
      </c>
      <c r="L872" s="65" t="n">
        <v>64048.05</v>
      </c>
      <c r="M872" s="66" t="n">
        <f aca="false">DATE(YEAR(B872),MONTH(B872),1)</f>
        <v>45992</v>
      </c>
      <c r="N872" s="35" t="str">
        <f aca="false">IF(G872="","Unknown",G872)</f>
        <v>Patna</v>
      </c>
      <c r="O872" s="35" t="str">
        <f aca="false">IF(E872="","Unknown",IF(E872&lt;=25,"18-25",IF(E872&lt;=35,"26-35",IF(E872&lt;=45,"36-45",IF(E872&lt;=55,"46-55","56-65")))))</f>
        <v>46-55</v>
      </c>
      <c r="P872" s="35" t="n">
        <f aca="false">COUNTIF($C$2:$C$1001,C872)</f>
        <v>1</v>
      </c>
      <c r="Q872" s="35" t="n">
        <f aca="false">IF(COUNTIF($C$2:C872,C872)=1,1,0)</f>
        <v>1</v>
      </c>
    </row>
    <row r="873" customFormat="false" ht="15" hidden="false" customHeight="false" outlineLevel="0" collapsed="false">
      <c r="A873" s="35" t="s">
        <v>2347</v>
      </c>
      <c r="B873" s="64" t="n">
        <v>45979</v>
      </c>
      <c r="C873" s="35" t="s">
        <v>2348</v>
      </c>
      <c r="D873" s="35" t="s">
        <v>1421</v>
      </c>
      <c r="E873" s="35" t="n">
        <v>35</v>
      </c>
      <c r="F873" s="35" t="s">
        <v>235</v>
      </c>
      <c r="G873" s="35" t="s">
        <v>219</v>
      </c>
      <c r="H873" s="35" t="s">
        <v>209</v>
      </c>
      <c r="I873" s="35" t="s">
        <v>200</v>
      </c>
      <c r="J873" s="35" t="n">
        <v>5</v>
      </c>
      <c r="K873" s="65" t="n">
        <v>27648.52</v>
      </c>
      <c r="L873" s="65" t="n">
        <v>138242.6</v>
      </c>
      <c r="M873" s="66" t="n">
        <f aca="false">DATE(YEAR(B873),MONTH(B873),1)</f>
        <v>45962</v>
      </c>
      <c r="N873" s="35" t="str">
        <f aca="false">IF(G873="","Unknown",G873)</f>
        <v>Mumbai</v>
      </c>
      <c r="O873" s="35" t="str">
        <f aca="false">IF(E873="","Unknown",IF(E873&lt;=25,"18-25",IF(E873&lt;=35,"26-35",IF(E873&lt;=45,"36-45",IF(E873&lt;=55,"46-55","56-65")))))</f>
        <v>26-35</v>
      </c>
      <c r="P873" s="35" t="n">
        <f aca="false">COUNTIF($C$2:$C$1001,C873)</f>
        <v>1</v>
      </c>
      <c r="Q873" s="35" t="n">
        <f aca="false">IF(COUNTIF($C$2:C873,C873)=1,1,0)</f>
        <v>1</v>
      </c>
    </row>
    <row r="874" customFormat="false" ht="15" hidden="false" customHeight="false" outlineLevel="0" collapsed="false">
      <c r="A874" s="35" t="s">
        <v>2349</v>
      </c>
      <c r="B874" s="64" t="n">
        <v>46003</v>
      </c>
      <c r="C874" s="35" t="s">
        <v>2350</v>
      </c>
      <c r="D874" s="35" t="s">
        <v>974</v>
      </c>
      <c r="E874" s="35" t="n">
        <v>36</v>
      </c>
      <c r="F874" s="35" t="s">
        <v>234</v>
      </c>
      <c r="G874" s="35" t="s">
        <v>220</v>
      </c>
      <c r="H874" s="35" t="s">
        <v>209</v>
      </c>
      <c r="I874" s="35" t="s">
        <v>200</v>
      </c>
      <c r="J874" s="35" t="n">
        <v>5</v>
      </c>
      <c r="K874" s="65" t="n">
        <v>39484.31</v>
      </c>
      <c r="L874" s="65" t="n">
        <v>197421.55</v>
      </c>
      <c r="M874" s="66" t="n">
        <f aca="false">DATE(YEAR(B874),MONTH(B874),1)</f>
        <v>45992</v>
      </c>
      <c r="N874" s="35" t="str">
        <f aca="false">IF(G874="","Unknown",G874)</f>
        <v>Hyderabad</v>
      </c>
      <c r="O874" s="35" t="str">
        <f aca="false">IF(E874="","Unknown",IF(E874&lt;=25,"18-25",IF(E874&lt;=35,"26-35",IF(E874&lt;=45,"36-45",IF(E874&lt;=55,"46-55","56-65")))))</f>
        <v>36-45</v>
      </c>
      <c r="P874" s="35" t="n">
        <f aca="false">COUNTIF($C$2:$C$1001,C874)</f>
        <v>1</v>
      </c>
      <c r="Q874" s="35" t="n">
        <f aca="false">IF(COUNTIF($C$2:C874,C874)=1,1,0)</f>
        <v>1</v>
      </c>
    </row>
    <row r="875" customFormat="false" ht="15" hidden="false" customHeight="false" outlineLevel="0" collapsed="false">
      <c r="A875" s="35" t="s">
        <v>2351</v>
      </c>
      <c r="B875" s="64" t="n">
        <v>45942</v>
      </c>
      <c r="C875" s="35" t="s">
        <v>1986</v>
      </c>
      <c r="D875" s="35" t="s">
        <v>836</v>
      </c>
      <c r="E875" s="35" t="n">
        <v>25</v>
      </c>
      <c r="F875" s="35" t="s">
        <v>234</v>
      </c>
      <c r="G875" s="35" t="s">
        <v>221</v>
      </c>
      <c r="H875" s="35" t="s">
        <v>212</v>
      </c>
      <c r="I875" s="35" t="s">
        <v>203</v>
      </c>
      <c r="J875" s="35" t="n">
        <v>6</v>
      </c>
      <c r="K875" s="65" t="n">
        <v>2417.66</v>
      </c>
      <c r="L875" s="65" t="n">
        <v>14505.96</v>
      </c>
      <c r="M875" s="66" t="n">
        <f aca="false">DATE(YEAR(B875),MONTH(B875),1)</f>
        <v>45931</v>
      </c>
      <c r="N875" s="35" t="str">
        <f aca="false">IF(G875="","Unknown",G875)</f>
        <v>Delhi</v>
      </c>
      <c r="O875" s="35" t="str">
        <f aca="false">IF(E875="","Unknown",IF(E875&lt;=25,"18-25",IF(E875&lt;=35,"26-35",IF(E875&lt;=45,"36-45",IF(E875&lt;=55,"46-55","56-65")))))</f>
        <v>18-25</v>
      </c>
      <c r="P875" s="35" t="n">
        <f aca="false">COUNTIF($C$2:$C$1001,C875)</f>
        <v>2</v>
      </c>
      <c r="Q875" s="35" t="n">
        <f aca="false">IF(COUNTIF($C$2:C875,C875)=1,1,0)</f>
        <v>0</v>
      </c>
    </row>
    <row r="876" customFormat="false" ht="15" hidden="false" customHeight="false" outlineLevel="0" collapsed="false">
      <c r="A876" s="35" t="s">
        <v>2352</v>
      </c>
      <c r="B876" s="64" t="n">
        <v>45991</v>
      </c>
      <c r="C876" s="35" t="s">
        <v>2353</v>
      </c>
      <c r="D876" s="35" t="s">
        <v>1490</v>
      </c>
      <c r="E876" s="35" t="n">
        <v>36</v>
      </c>
      <c r="F876" s="35" t="s">
        <v>235</v>
      </c>
      <c r="G876" s="35" t="s">
        <v>219</v>
      </c>
      <c r="H876" s="35" t="s">
        <v>211</v>
      </c>
      <c r="I876" s="35" t="s">
        <v>202</v>
      </c>
      <c r="J876" s="35" t="n">
        <v>5</v>
      </c>
      <c r="K876" s="65" t="n">
        <v>40104.71</v>
      </c>
      <c r="L876" s="65" t="n">
        <v>200523.55</v>
      </c>
      <c r="M876" s="66" t="n">
        <f aca="false">DATE(YEAR(B876),MONTH(B876),1)</f>
        <v>45962</v>
      </c>
      <c r="N876" s="35" t="str">
        <f aca="false">IF(G876="","Unknown",G876)</f>
        <v>Mumbai</v>
      </c>
      <c r="O876" s="35" t="str">
        <f aca="false">IF(E876="","Unknown",IF(E876&lt;=25,"18-25",IF(E876&lt;=35,"26-35",IF(E876&lt;=45,"36-45",IF(E876&lt;=55,"46-55","56-65")))))</f>
        <v>36-45</v>
      </c>
      <c r="P876" s="35" t="n">
        <f aca="false">COUNTIF($C$2:$C$1001,C876)</f>
        <v>1</v>
      </c>
      <c r="Q876" s="35" t="n">
        <f aca="false">IF(COUNTIF($C$2:C876,C876)=1,1,0)</f>
        <v>1</v>
      </c>
    </row>
    <row r="877" customFormat="false" ht="15" hidden="false" customHeight="false" outlineLevel="0" collapsed="false">
      <c r="A877" s="35" t="s">
        <v>2354</v>
      </c>
      <c r="B877" s="64" t="n">
        <v>46010</v>
      </c>
      <c r="C877" s="35" t="s">
        <v>2355</v>
      </c>
      <c r="D877" s="35" t="s">
        <v>2314</v>
      </c>
      <c r="E877" s="35" t="n">
        <v>37</v>
      </c>
      <c r="F877" s="35" t="s">
        <v>234</v>
      </c>
      <c r="G877" s="35" t="s">
        <v>218</v>
      </c>
      <c r="H877" s="35" t="s">
        <v>210</v>
      </c>
      <c r="I877" s="35" t="s">
        <v>201</v>
      </c>
      <c r="J877" s="35" t="n">
        <v>4</v>
      </c>
      <c r="K877" s="65" t="n">
        <v>22929.61</v>
      </c>
      <c r="L877" s="65" t="n">
        <v>91718.44</v>
      </c>
      <c r="M877" s="66" t="n">
        <f aca="false">DATE(YEAR(B877),MONTH(B877),1)</f>
        <v>45992</v>
      </c>
      <c r="N877" s="35" t="str">
        <f aca="false">IF(G877="","Unknown",G877)</f>
        <v>Bengaluru</v>
      </c>
      <c r="O877" s="35" t="str">
        <f aca="false">IF(E877="","Unknown",IF(E877&lt;=25,"18-25",IF(E877&lt;=35,"26-35",IF(E877&lt;=45,"36-45",IF(E877&lt;=55,"46-55","56-65")))))</f>
        <v>36-45</v>
      </c>
      <c r="P877" s="35" t="n">
        <f aca="false">COUNTIF($C$2:$C$1001,C877)</f>
        <v>1</v>
      </c>
      <c r="Q877" s="35" t="n">
        <f aca="false">IF(COUNTIF($C$2:C877,C877)=1,1,0)</f>
        <v>1</v>
      </c>
    </row>
    <row r="878" customFormat="false" ht="15" hidden="false" customHeight="false" outlineLevel="0" collapsed="false">
      <c r="A878" s="35" t="s">
        <v>2356</v>
      </c>
      <c r="B878" s="64" t="n">
        <v>45986</v>
      </c>
      <c r="C878" s="35" t="s">
        <v>2357</v>
      </c>
      <c r="D878" s="35" t="s">
        <v>1060</v>
      </c>
      <c r="E878" s="35" t="n">
        <v>48</v>
      </c>
      <c r="F878" s="35" t="s">
        <v>235</v>
      </c>
      <c r="G878" s="35" t="s">
        <v>219</v>
      </c>
      <c r="H878" s="35" t="s">
        <v>211</v>
      </c>
      <c r="I878" s="35" t="s">
        <v>202</v>
      </c>
      <c r="J878" s="35" t="n">
        <v>10</v>
      </c>
      <c r="K878" s="65" t="n">
        <v>23757.31</v>
      </c>
      <c r="L878" s="65" t="n">
        <v>237573.1</v>
      </c>
      <c r="M878" s="66" t="n">
        <f aca="false">DATE(YEAR(B878),MONTH(B878),1)</f>
        <v>45962</v>
      </c>
      <c r="N878" s="35" t="str">
        <f aca="false">IF(G878="","Unknown",G878)</f>
        <v>Mumbai</v>
      </c>
      <c r="O878" s="35" t="str">
        <f aca="false">IF(E878="","Unknown",IF(E878&lt;=25,"18-25",IF(E878&lt;=35,"26-35",IF(E878&lt;=45,"36-45",IF(E878&lt;=55,"46-55","56-65")))))</f>
        <v>46-55</v>
      </c>
      <c r="P878" s="35" t="n">
        <f aca="false">COUNTIF($C$2:$C$1001,C878)</f>
        <v>1</v>
      </c>
      <c r="Q878" s="35" t="n">
        <f aca="false">IF(COUNTIF($C$2:C878,C878)=1,1,0)</f>
        <v>1</v>
      </c>
    </row>
    <row r="879" customFormat="false" ht="15" hidden="false" customHeight="false" outlineLevel="0" collapsed="false">
      <c r="A879" s="35" t="s">
        <v>2358</v>
      </c>
      <c r="B879" s="64" t="n">
        <v>45795</v>
      </c>
      <c r="C879" s="35" t="s">
        <v>2359</v>
      </c>
      <c r="D879" s="35" t="s">
        <v>2314</v>
      </c>
      <c r="E879" s="35" t="n">
        <v>40</v>
      </c>
      <c r="F879" s="35" t="s">
        <v>234</v>
      </c>
      <c r="G879" s="35" t="s">
        <v>220</v>
      </c>
      <c r="H879" s="35" t="s">
        <v>208</v>
      </c>
      <c r="I879" s="35" t="s">
        <v>200</v>
      </c>
      <c r="J879" s="35" t="n">
        <v>7</v>
      </c>
      <c r="K879" s="65" t="n">
        <v>6769.87</v>
      </c>
      <c r="L879" s="65" t="n">
        <v>47389.09</v>
      </c>
      <c r="M879" s="66" t="n">
        <f aca="false">DATE(YEAR(B879),MONTH(B879),1)</f>
        <v>45778</v>
      </c>
      <c r="N879" s="35" t="str">
        <f aca="false">IF(G879="","Unknown",G879)</f>
        <v>Hyderabad</v>
      </c>
      <c r="O879" s="35" t="str">
        <f aca="false">IF(E879="","Unknown",IF(E879&lt;=25,"18-25",IF(E879&lt;=35,"26-35",IF(E879&lt;=45,"36-45",IF(E879&lt;=55,"46-55","56-65")))))</f>
        <v>36-45</v>
      </c>
      <c r="P879" s="35" t="n">
        <f aca="false">COUNTIF($C$2:$C$1001,C879)</f>
        <v>1</v>
      </c>
      <c r="Q879" s="35" t="n">
        <f aca="false">IF(COUNTIF($C$2:C879,C879)=1,1,0)</f>
        <v>1</v>
      </c>
    </row>
    <row r="880" customFormat="false" ht="15" hidden="false" customHeight="false" outlineLevel="0" collapsed="false">
      <c r="A880" s="35" t="s">
        <v>2360</v>
      </c>
      <c r="B880" s="64" t="n">
        <v>45938</v>
      </c>
      <c r="C880" s="35" t="s">
        <v>2361</v>
      </c>
      <c r="D880" s="35" t="s">
        <v>1347</v>
      </c>
      <c r="E880" s="35" t="n">
        <v>55</v>
      </c>
      <c r="F880" s="35" t="s">
        <v>234</v>
      </c>
      <c r="G880" s="35" t="s">
        <v>219</v>
      </c>
      <c r="H880" s="35" t="s">
        <v>209</v>
      </c>
      <c r="I880" s="35" t="s">
        <v>200</v>
      </c>
      <c r="J880" s="35" t="n">
        <v>2</v>
      </c>
      <c r="K880" s="65" t="n">
        <v>7104.93</v>
      </c>
      <c r="L880" s="65" t="n">
        <v>14209.86</v>
      </c>
      <c r="M880" s="66" t="n">
        <f aca="false">DATE(YEAR(B880),MONTH(B880),1)</f>
        <v>45931</v>
      </c>
      <c r="N880" s="35" t="str">
        <f aca="false">IF(G880="","Unknown",G880)</f>
        <v>Mumbai</v>
      </c>
      <c r="O880" s="35" t="str">
        <f aca="false">IF(E880="","Unknown",IF(E880&lt;=25,"18-25",IF(E880&lt;=35,"26-35",IF(E880&lt;=45,"36-45",IF(E880&lt;=55,"46-55","56-65")))))</f>
        <v>46-55</v>
      </c>
      <c r="P880" s="35" t="n">
        <f aca="false">COUNTIF($C$2:$C$1001,C880)</f>
        <v>1</v>
      </c>
      <c r="Q880" s="35" t="n">
        <f aca="false">IF(COUNTIF($C$2:C880,C880)=1,1,0)</f>
        <v>1</v>
      </c>
    </row>
    <row r="881" customFormat="false" ht="15" hidden="false" customHeight="false" outlineLevel="0" collapsed="false">
      <c r="A881" s="35" t="s">
        <v>2362</v>
      </c>
      <c r="B881" s="64" t="n">
        <v>45835</v>
      </c>
      <c r="C881" s="35" t="s">
        <v>2363</v>
      </c>
      <c r="D881" s="35" t="s">
        <v>1229</v>
      </c>
      <c r="E881" s="35" t="n">
        <v>19</v>
      </c>
      <c r="F881" s="35" t="s">
        <v>235</v>
      </c>
      <c r="G881" s="35" t="s">
        <v>223</v>
      </c>
      <c r="H881" s="35" t="s">
        <v>210</v>
      </c>
      <c r="I881" s="35" t="s">
        <v>201</v>
      </c>
      <c r="J881" s="35" t="n">
        <v>2</v>
      </c>
      <c r="K881" s="65" t="n">
        <v>35430.53</v>
      </c>
      <c r="L881" s="65" t="n">
        <v>70861.06</v>
      </c>
      <c r="M881" s="66" t="n">
        <f aca="false">DATE(YEAR(B881),MONTH(B881),1)</f>
        <v>45809</v>
      </c>
      <c r="N881" s="35" t="str">
        <f aca="false">IF(G881="","Unknown",G881)</f>
        <v>Gaya</v>
      </c>
      <c r="O881" s="35" t="str">
        <f aca="false">IF(E881="","Unknown",IF(E881&lt;=25,"18-25",IF(E881&lt;=35,"26-35",IF(E881&lt;=45,"36-45",IF(E881&lt;=55,"46-55","56-65")))))</f>
        <v>18-25</v>
      </c>
      <c r="P881" s="35" t="n">
        <f aca="false">COUNTIF($C$2:$C$1001,C881)</f>
        <v>1</v>
      </c>
      <c r="Q881" s="35" t="n">
        <f aca="false">IF(COUNTIF($C$2:C881,C881)=1,1,0)</f>
        <v>1</v>
      </c>
    </row>
    <row r="882" customFormat="false" ht="15" hidden="false" customHeight="false" outlineLevel="0" collapsed="false">
      <c r="A882" s="35" t="s">
        <v>2364</v>
      </c>
      <c r="B882" s="64" t="n">
        <v>45891</v>
      </c>
      <c r="C882" s="35" t="s">
        <v>322</v>
      </c>
      <c r="D882" s="35" t="s">
        <v>716</v>
      </c>
      <c r="E882" s="35" t="n">
        <v>43</v>
      </c>
      <c r="F882" s="35" t="s">
        <v>235</v>
      </c>
      <c r="G882" s="35" t="s">
        <v>220</v>
      </c>
      <c r="H882" s="35" t="s">
        <v>211</v>
      </c>
      <c r="I882" s="35" t="s">
        <v>202</v>
      </c>
      <c r="J882" s="35" t="n">
        <v>8</v>
      </c>
      <c r="K882" s="65" t="n">
        <v>44811.59</v>
      </c>
      <c r="L882" s="65" t="n">
        <v>358492.72</v>
      </c>
      <c r="M882" s="66" t="n">
        <f aca="false">DATE(YEAR(B882),MONTH(B882),1)</f>
        <v>45870</v>
      </c>
      <c r="N882" s="35" t="str">
        <f aca="false">IF(G882="","Unknown",G882)</f>
        <v>Hyderabad</v>
      </c>
      <c r="O882" s="35" t="str">
        <f aca="false">IF(E882="","Unknown",IF(E882&lt;=25,"18-25",IF(E882&lt;=35,"26-35",IF(E882&lt;=45,"36-45",IF(E882&lt;=55,"46-55","56-65")))))</f>
        <v>36-45</v>
      </c>
      <c r="P882" s="35" t="n">
        <f aca="false">COUNTIF($C$2:$C$1001,C882)</f>
        <v>2</v>
      </c>
      <c r="Q882" s="35" t="n">
        <f aca="false">IF(COUNTIF($C$2:C882,C882)=1,1,0)</f>
        <v>0</v>
      </c>
    </row>
    <row r="883" customFormat="false" ht="15" hidden="false" customHeight="false" outlineLevel="0" collapsed="false">
      <c r="A883" s="35" t="s">
        <v>2365</v>
      </c>
      <c r="B883" s="64" t="n">
        <v>45811</v>
      </c>
      <c r="C883" s="35" t="s">
        <v>2366</v>
      </c>
      <c r="D883" s="35" t="s">
        <v>957</v>
      </c>
      <c r="E883" s="35" t="n">
        <v>65</v>
      </c>
      <c r="F883" s="35" t="s">
        <v>235</v>
      </c>
      <c r="G883" s="35" t="s">
        <v>221</v>
      </c>
      <c r="H883" s="35" t="s">
        <v>213</v>
      </c>
      <c r="I883" s="35" t="s">
        <v>204</v>
      </c>
      <c r="J883" s="35" t="n">
        <v>10</v>
      </c>
      <c r="K883" s="65" t="n">
        <v>16661.37</v>
      </c>
      <c r="L883" s="65" t="n">
        <v>166613.7</v>
      </c>
      <c r="M883" s="66" t="n">
        <f aca="false">DATE(YEAR(B883),MONTH(B883),1)</f>
        <v>45809</v>
      </c>
      <c r="N883" s="35" t="str">
        <f aca="false">IF(G883="","Unknown",G883)</f>
        <v>Delhi</v>
      </c>
      <c r="O883" s="35" t="str">
        <f aca="false">IF(E883="","Unknown",IF(E883&lt;=25,"18-25",IF(E883&lt;=35,"26-35",IF(E883&lt;=45,"36-45",IF(E883&lt;=55,"46-55","56-65")))))</f>
        <v>56-65</v>
      </c>
      <c r="P883" s="35" t="n">
        <f aca="false">COUNTIF($C$2:$C$1001,C883)</f>
        <v>1</v>
      </c>
      <c r="Q883" s="35" t="n">
        <f aca="false">IF(COUNTIF($C$2:C883,C883)=1,1,0)</f>
        <v>1</v>
      </c>
    </row>
    <row r="884" customFormat="false" ht="15" hidden="false" customHeight="false" outlineLevel="0" collapsed="false">
      <c r="A884" s="35" t="s">
        <v>2367</v>
      </c>
      <c r="B884" s="64" t="n">
        <v>45723</v>
      </c>
      <c r="C884" s="35" t="s">
        <v>2368</v>
      </c>
      <c r="D884" s="35" t="s">
        <v>1126</v>
      </c>
      <c r="E884" s="35" t="n">
        <v>54</v>
      </c>
      <c r="F884" s="35" t="s">
        <v>234</v>
      </c>
      <c r="G884" s="35" t="s">
        <v>217</v>
      </c>
      <c r="H884" s="35" t="s">
        <v>209</v>
      </c>
      <c r="I884" s="35" t="s">
        <v>200</v>
      </c>
      <c r="J884" s="35" t="n">
        <v>7</v>
      </c>
      <c r="K884" s="65" t="n">
        <v>14207.04</v>
      </c>
      <c r="L884" s="65" t="n">
        <v>99449.28</v>
      </c>
      <c r="M884" s="66" t="n">
        <f aca="false">DATE(YEAR(B884),MONTH(B884),1)</f>
        <v>45717</v>
      </c>
      <c r="N884" s="35" t="str">
        <f aca="false">IF(G884="","Unknown",G884)</f>
        <v>Kolkata</v>
      </c>
      <c r="O884" s="35" t="str">
        <f aca="false">IF(E884="","Unknown",IF(E884&lt;=25,"18-25",IF(E884&lt;=35,"26-35",IF(E884&lt;=45,"36-45",IF(E884&lt;=55,"46-55","56-65")))))</f>
        <v>46-55</v>
      </c>
      <c r="P884" s="35" t="n">
        <f aca="false">COUNTIF($C$2:$C$1001,C884)</f>
        <v>1</v>
      </c>
      <c r="Q884" s="35" t="n">
        <f aca="false">IF(COUNTIF($C$2:C884,C884)=1,1,0)</f>
        <v>1</v>
      </c>
    </row>
    <row r="885" customFormat="false" ht="15" hidden="false" customHeight="false" outlineLevel="0" collapsed="false">
      <c r="A885" s="35" t="s">
        <v>2369</v>
      </c>
      <c r="B885" s="64" t="n">
        <v>45784</v>
      </c>
      <c r="C885" s="35" t="s">
        <v>2370</v>
      </c>
      <c r="D885" s="35" t="s">
        <v>2371</v>
      </c>
      <c r="E885" s="35" t="n">
        <v>43</v>
      </c>
      <c r="F885" s="35" t="s">
        <v>235</v>
      </c>
      <c r="G885" s="35" t="s">
        <v>219</v>
      </c>
      <c r="H885" s="35" t="s">
        <v>213</v>
      </c>
      <c r="I885" s="35" t="s">
        <v>204</v>
      </c>
      <c r="J885" s="35" t="n">
        <v>8</v>
      </c>
      <c r="K885" s="65" t="n">
        <v>3220.99</v>
      </c>
      <c r="L885" s="65" t="n">
        <v>25767.92</v>
      </c>
      <c r="M885" s="66" t="n">
        <f aca="false">DATE(YEAR(B885),MONTH(B885),1)</f>
        <v>45778</v>
      </c>
      <c r="N885" s="35" t="str">
        <f aca="false">IF(G885="","Unknown",G885)</f>
        <v>Mumbai</v>
      </c>
      <c r="O885" s="35" t="str">
        <f aca="false">IF(E885="","Unknown",IF(E885&lt;=25,"18-25",IF(E885&lt;=35,"26-35",IF(E885&lt;=45,"36-45",IF(E885&lt;=55,"46-55","56-65")))))</f>
        <v>36-45</v>
      </c>
      <c r="P885" s="35" t="n">
        <f aca="false">COUNTIF($C$2:$C$1001,C885)</f>
        <v>1</v>
      </c>
      <c r="Q885" s="35" t="n">
        <f aca="false">IF(COUNTIF($C$2:C885,C885)=1,1,0)</f>
        <v>1</v>
      </c>
    </row>
    <row r="886" customFormat="false" ht="15" hidden="false" customHeight="false" outlineLevel="0" collapsed="false">
      <c r="A886" s="35" t="s">
        <v>2372</v>
      </c>
      <c r="B886" s="64" t="n">
        <v>45881</v>
      </c>
      <c r="C886" s="35" t="s">
        <v>2373</v>
      </c>
      <c r="D886" s="35" t="s">
        <v>2374</v>
      </c>
      <c r="E886" s="35" t="n">
        <v>34</v>
      </c>
      <c r="F886" s="35" t="s">
        <v>234</v>
      </c>
      <c r="G886" s="35" t="s">
        <v>222</v>
      </c>
      <c r="H886" s="35" t="s">
        <v>212</v>
      </c>
      <c r="I886" s="35" t="s">
        <v>203</v>
      </c>
      <c r="J886" s="35" t="n">
        <v>1</v>
      </c>
      <c r="K886" s="65" t="n">
        <v>21572.48</v>
      </c>
      <c r="L886" s="65" t="n">
        <v>21572.48</v>
      </c>
      <c r="M886" s="66" t="n">
        <f aca="false">DATE(YEAR(B886),MONTH(B886),1)</f>
        <v>45870</v>
      </c>
      <c r="N886" s="35" t="str">
        <f aca="false">IF(G886="","Unknown",G886)</f>
        <v>Pune</v>
      </c>
      <c r="O886" s="35" t="str">
        <f aca="false">IF(E886="","Unknown",IF(E886&lt;=25,"18-25",IF(E886&lt;=35,"26-35",IF(E886&lt;=45,"36-45",IF(E886&lt;=55,"46-55","56-65")))))</f>
        <v>26-35</v>
      </c>
      <c r="P886" s="35" t="n">
        <f aca="false">COUNTIF($C$2:$C$1001,C886)</f>
        <v>1</v>
      </c>
      <c r="Q886" s="35" t="n">
        <f aca="false">IF(COUNTIF($C$2:C886,C886)=1,1,0)</f>
        <v>1</v>
      </c>
    </row>
    <row r="887" customFormat="false" ht="15" hidden="false" customHeight="false" outlineLevel="0" collapsed="false">
      <c r="A887" s="35" t="s">
        <v>2375</v>
      </c>
      <c r="B887" s="64" t="n">
        <v>45672</v>
      </c>
      <c r="C887" s="35" t="s">
        <v>2376</v>
      </c>
      <c r="D887" s="35" t="s">
        <v>2377</v>
      </c>
      <c r="E887" s="35" t="n">
        <v>21</v>
      </c>
      <c r="F887" s="35" t="s">
        <v>235</v>
      </c>
      <c r="G887" s="35" t="s">
        <v>222</v>
      </c>
      <c r="H887" s="35" t="s">
        <v>211</v>
      </c>
      <c r="I887" s="35" t="s">
        <v>202</v>
      </c>
      <c r="J887" s="35" t="n">
        <v>8</v>
      </c>
      <c r="K887" s="65" t="n">
        <v>38808.88</v>
      </c>
      <c r="L887" s="65" t="n">
        <v>310471.04</v>
      </c>
      <c r="M887" s="66" t="n">
        <f aca="false">DATE(YEAR(B887),MONTH(B887),1)</f>
        <v>45658</v>
      </c>
      <c r="N887" s="35" t="str">
        <f aca="false">IF(G887="","Unknown",G887)</f>
        <v>Pune</v>
      </c>
      <c r="O887" s="35" t="str">
        <f aca="false">IF(E887="","Unknown",IF(E887&lt;=25,"18-25",IF(E887&lt;=35,"26-35",IF(E887&lt;=45,"36-45",IF(E887&lt;=55,"46-55","56-65")))))</f>
        <v>18-25</v>
      </c>
      <c r="P887" s="35" t="n">
        <f aca="false">COUNTIF($C$2:$C$1001,C887)</f>
        <v>1</v>
      </c>
      <c r="Q887" s="35" t="n">
        <f aca="false">IF(COUNTIF($C$2:C887,C887)=1,1,0)</f>
        <v>1</v>
      </c>
    </row>
    <row r="888" customFormat="false" ht="15" hidden="false" customHeight="false" outlineLevel="0" collapsed="false">
      <c r="A888" s="35" t="s">
        <v>2378</v>
      </c>
      <c r="B888" s="64" t="n">
        <v>45987</v>
      </c>
      <c r="C888" s="35" t="s">
        <v>2379</v>
      </c>
      <c r="D888" s="35" t="s">
        <v>806</v>
      </c>
      <c r="E888" s="35" t="n">
        <v>45</v>
      </c>
      <c r="F888" s="35" t="s">
        <v>234</v>
      </c>
      <c r="G888" s="35" t="s">
        <v>221</v>
      </c>
      <c r="H888" s="35" t="s">
        <v>210</v>
      </c>
      <c r="I888" s="35" t="s">
        <v>201</v>
      </c>
      <c r="J888" s="35" t="n">
        <v>2</v>
      </c>
      <c r="K888" s="65" t="n">
        <v>6525.25</v>
      </c>
      <c r="L888" s="65" t="n">
        <v>13050.5</v>
      </c>
      <c r="M888" s="66" t="n">
        <f aca="false">DATE(YEAR(B888),MONTH(B888),1)</f>
        <v>45962</v>
      </c>
      <c r="N888" s="35" t="str">
        <f aca="false">IF(G888="","Unknown",G888)</f>
        <v>Delhi</v>
      </c>
      <c r="O888" s="35" t="str">
        <f aca="false">IF(E888="","Unknown",IF(E888&lt;=25,"18-25",IF(E888&lt;=35,"26-35",IF(E888&lt;=45,"36-45",IF(E888&lt;=55,"46-55","56-65")))))</f>
        <v>36-45</v>
      </c>
      <c r="P888" s="35" t="n">
        <f aca="false">COUNTIF($C$2:$C$1001,C888)</f>
        <v>1</v>
      </c>
      <c r="Q888" s="35" t="n">
        <f aca="false">IF(COUNTIF($C$2:C888,C888)=1,1,0)</f>
        <v>1</v>
      </c>
    </row>
    <row r="889" customFormat="false" ht="15" hidden="false" customHeight="false" outlineLevel="0" collapsed="false">
      <c r="A889" s="35" t="s">
        <v>2380</v>
      </c>
      <c r="B889" s="64" t="n">
        <v>45741</v>
      </c>
      <c r="C889" s="35" t="s">
        <v>2381</v>
      </c>
      <c r="D889" s="35" t="s">
        <v>2382</v>
      </c>
      <c r="E889" s="35" t="n">
        <v>55</v>
      </c>
      <c r="F889" s="35" t="s">
        <v>235</v>
      </c>
      <c r="G889" s="35" t="s">
        <v>222</v>
      </c>
      <c r="H889" s="35" t="s">
        <v>211</v>
      </c>
      <c r="I889" s="35" t="s">
        <v>202</v>
      </c>
      <c r="J889" s="35" t="n">
        <v>9</v>
      </c>
      <c r="K889" s="65" t="n">
        <v>36721.83</v>
      </c>
      <c r="L889" s="65" t="n">
        <v>330496.47</v>
      </c>
      <c r="M889" s="66" t="n">
        <f aca="false">DATE(YEAR(B889),MONTH(B889),1)</f>
        <v>45717</v>
      </c>
      <c r="N889" s="35" t="str">
        <f aca="false">IF(G889="","Unknown",G889)</f>
        <v>Pune</v>
      </c>
      <c r="O889" s="35" t="str">
        <f aca="false">IF(E889="","Unknown",IF(E889&lt;=25,"18-25",IF(E889&lt;=35,"26-35",IF(E889&lt;=45,"36-45",IF(E889&lt;=55,"46-55","56-65")))))</f>
        <v>46-55</v>
      </c>
      <c r="P889" s="35" t="n">
        <f aca="false">COUNTIF($C$2:$C$1001,C889)</f>
        <v>1</v>
      </c>
      <c r="Q889" s="35" t="n">
        <f aca="false">IF(COUNTIF($C$2:C889,C889)=1,1,0)</f>
        <v>1</v>
      </c>
    </row>
    <row r="890" customFormat="false" ht="15" hidden="false" customHeight="false" outlineLevel="0" collapsed="false">
      <c r="A890" s="35" t="s">
        <v>2383</v>
      </c>
      <c r="B890" s="64" t="n">
        <v>45899</v>
      </c>
      <c r="C890" s="35" t="s">
        <v>2384</v>
      </c>
      <c r="D890" s="35" t="s">
        <v>1185</v>
      </c>
      <c r="E890" s="35" t="n">
        <v>30</v>
      </c>
      <c r="F890" s="35" t="s">
        <v>234</v>
      </c>
      <c r="G890" s="35" t="s">
        <v>219</v>
      </c>
      <c r="H890" s="35" t="s">
        <v>211</v>
      </c>
      <c r="I890" s="35" t="s">
        <v>202</v>
      </c>
      <c r="J890" s="35" t="n">
        <v>1</v>
      </c>
      <c r="K890" s="65" t="n">
        <v>16506.48</v>
      </c>
      <c r="L890" s="65" t="n">
        <v>16506.48</v>
      </c>
      <c r="M890" s="66" t="n">
        <f aca="false">DATE(YEAR(B890),MONTH(B890),1)</f>
        <v>45870</v>
      </c>
      <c r="N890" s="35" t="str">
        <f aca="false">IF(G890="","Unknown",G890)</f>
        <v>Mumbai</v>
      </c>
      <c r="O890" s="35" t="str">
        <f aca="false">IF(E890="","Unknown",IF(E890&lt;=25,"18-25",IF(E890&lt;=35,"26-35",IF(E890&lt;=45,"36-45",IF(E890&lt;=55,"46-55","56-65")))))</f>
        <v>26-35</v>
      </c>
      <c r="P890" s="35" t="n">
        <f aca="false">COUNTIF($C$2:$C$1001,C890)</f>
        <v>1</v>
      </c>
      <c r="Q890" s="35" t="n">
        <f aca="false">IF(COUNTIF($C$2:C890,C890)=1,1,0)</f>
        <v>1</v>
      </c>
    </row>
    <row r="891" customFormat="false" ht="15" hidden="false" customHeight="false" outlineLevel="0" collapsed="false">
      <c r="A891" s="35" t="s">
        <v>2385</v>
      </c>
      <c r="B891" s="64" t="n">
        <v>45699</v>
      </c>
      <c r="C891" s="35" t="s">
        <v>2386</v>
      </c>
      <c r="D891" s="35" t="s">
        <v>263</v>
      </c>
      <c r="E891" s="35" t="n">
        <v>19</v>
      </c>
      <c r="F891" s="35" t="s">
        <v>235</v>
      </c>
      <c r="G891" s="35" t="s">
        <v>216</v>
      </c>
      <c r="H891" s="35" t="s">
        <v>210</v>
      </c>
      <c r="I891" s="35" t="s">
        <v>201</v>
      </c>
      <c r="J891" s="35" t="n">
        <v>4</v>
      </c>
      <c r="K891" s="65" t="n">
        <v>45273.26</v>
      </c>
      <c r="L891" s="65" t="n">
        <v>181093.04</v>
      </c>
      <c r="M891" s="66" t="n">
        <f aca="false">DATE(YEAR(B891),MONTH(B891),1)</f>
        <v>45689</v>
      </c>
      <c r="N891" s="35" t="str">
        <f aca="false">IF(G891="","Unknown",G891)</f>
        <v>Patna</v>
      </c>
      <c r="O891" s="35" t="str">
        <f aca="false">IF(E891="","Unknown",IF(E891&lt;=25,"18-25",IF(E891&lt;=35,"26-35",IF(E891&lt;=45,"36-45",IF(E891&lt;=55,"46-55","56-65")))))</f>
        <v>18-25</v>
      </c>
      <c r="P891" s="35" t="n">
        <f aca="false">COUNTIF($C$2:$C$1001,C891)</f>
        <v>1</v>
      </c>
      <c r="Q891" s="35" t="n">
        <f aca="false">IF(COUNTIF($C$2:C891,C891)=1,1,0)</f>
        <v>1</v>
      </c>
    </row>
    <row r="892" customFormat="false" ht="15" hidden="false" customHeight="false" outlineLevel="0" collapsed="false">
      <c r="A892" s="35" t="s">
        <v>2387</v>
      </c>
      <c r="B892" s="64" t="n">
        <v>45773</v>
      </c>
      <c r="C892" s="35" t="s">
        <v>2388</v>
      </c>
      <c r="D892" s="35" t="s">
        <v>1446</v>
      </c>
      <c r="E892" s="35" t="n">
        <v>56</v>
      </c>
      <c r="F892" s="35" t="s">
        <v>235</v>
      </c>
      <c r="G892" s="35" t="s">
        <v>221</v>
      </c>
      <c r="H892" s="35" t="s">
        <v>211</v>
      </c>
      <c r="I892" s="35" t="s">
        <v>202</v>
      </c>
      <c r="J892" s="35" t="n">
        <v>1</v>
      </c>
      <c r="K892" s="65" t="n">
        <v>15061.67</v>
      </c>
      <c r="L892" s="65" t="n">
        <v>15061.67</v>
      </c>
      <c r="M892" s="66" t="n">
        <f aca="false">DATE(YEAR(B892),MONTH(B892),1)</f>
        <v>45748</v>
      </c>
      <c r="N892" s="35" t="str">
        <f aca="false">IF(G892="","Unknown",G892)</f>
        <v>Delhi</v>
      </c>
      <c r="O892" s="35" t="str">
        <f aca="false">IF(E892="","Unknown",IF(E892&lt;=25,"18-25",IF(E892&lt;=35,"26-35",IF(E892&lt;=45,"36-45",IF(E892&lt;=55,"46-55","56-65")))))</f>
        <v>56-65</v>
      </c>
      <c r="P892" s="35" t="n">
        <f aca="false">COUNTIF($C$2:$C$1001,C892)</f>
        <v>1</v>
      </c>
      <c r="Q892" s="35" t="n">
        <f aca="false">IF(COUNTIF($C$2:C892,C892)=1,1,0)</f>
        <v>1</v>
      </c>
    </row>
    <row r="893" customFormat="false" ht="15" hidden="false" customHeight="false" outlineLevel="0" collapsed="false">
      <c r="A893" s="35" t="s">
        <v>2389</v>
      </c>
      <c r="B893" s="64" t="n">
        <v>45795</v>
      </c>
      <c r="C893" s="35" t="s">
        <v>2390</v>
      </c>
      <c r="D893" s="35" t="s">
        <v>612</v>
      </c>
      <c r="E893" s="35" t="n">
        <v>25</v>
      </c>
      <c r="F893" s="35" t="s">
        <v>235</v>
      </c>
      <c r="G893" s="35" t="s">
        <v>222</v>
      </c>
      <c r="H893" s="35" t="s">
        <v>213</v>
      </c>
      <c r="I893" s="35" t="s">
        <v>204</v>
      </c>
      <c r="J893" s="35" t="n">
        <v>3</v>
      </c>
      <c r="K893" s="65" t="n">
        <v>30814.91</v>
      </c>
      <c r="L893" s="65" t="n">
        <v>92444.73</v>
      </c>
      <c r="M893" s="66" t="n">
        <f aca="false">DATE(YEAR(B893),MONTH(B893),1)</f>
        <v>45778</v>
      </c>
      <c r="N893" s="35" t="str">
        <f aca="false">IF(G893="","Unknown",G893)</f>
        <v>Pune</v>
      </c>
      <c r="O893" s="35" t="str">
        <f aca="false">IF(E893="","Unknown",IF(E893&lt;=25,"18-25",IF(E893&lt;=35,"26-35",IF(E893&lt;=45,"36-45",IF(E893&lt;=55,"46-55","56-65")))))</f>
        <v>18-25</v>
      </c>
      <c r="P893" s="35" t="n">
        <f aca="false">COUNTIF($C$2:$C$1001,C893)</f>
        <v>1</v>
      </c>
      <c r="Q893" s="35" t="n">
        <f aca="false">IF(COUNTIF($C$2:C893,C893)=1,1,0)</f>
        <v>1</v>
      </c>
    </row>
    <row r="894" customFormat="false" ht="15" hidden="false" customHeight="false" outlineLevel="0" collapsed="false">
      <c r="A894" s="35" t="s">
        <v>2391</v>
      </c>
      <c r="B894" s="64" t="n">
        <v>45992</v>
      </c>
      <c r="C894" s="35" t="s">
        <v>2392</v>
      </c>
      <c r="D894" s="35" t="s">
        <v>2393</v>
      </c>
      <c r="E894" s="35" t="n">
        <v>24</v>
      </c>
      <c r="F894" s="35" t="s">
        <v>234</v>
      </c>
      <c r="G894" s="35" t="s">
        <v>220</v>
      </c>
      <c r="H894" s="35" t="s">
        <v>210</v>
      </c>
      <c r="I894" s="35" t="s">
        <v>201</v>
      </c>
      <c r="J894" s="35" t="n">
        <v>8</v>
      </c>
      <c r="K894" s="65" t="n">
        <v>36507.56</v>
      </c>
      <c r="L894" s="65" t="n">
        <v>292060.48</v>
      </c>
      <c r="M894" s="66" t="n">
        <f aca="false">DATE(YEAR(B894),MONTH(B894),1)</f>
        <v>45992</v>
      </c>
      <c r="N894" s="35" t="str">
        <f aca="false">IF(G894="","Unknown",G894)</f>
        <v>Hyderabad</v>
      </c>
      <c r="O894" s="35" t="str">
        <f aca="false">IF(E894="","Unknown",IF(E894&lt;=25,"18-25",IF(E894&lt;=35,"26-35",IF(E894&lt;=45,"36-45",IF(E894&lt;=55,"46-55","56-65")))))</f>
        <v>18-25</v>
      </c>
      <c r="P894" s="35" t="n">
        <f aca="false">COUNTIF($C$2:$C$1001,C894)</f>
        <v>1</v>
      </c>
      <c r="Q894" s="35" t="n">
        <f aca="false">IF(COUNTIF($C$2:C894,C894)=1,1,0)</f>
        <v>1</v>
      </c>
    </row>
    <row r="895" customFormat="false" ht="15" hidden="false" customHeight="false" outlineLevel="0" collapsed="false">
      <c r="A895" s="35" t="s">
        <v>2394</v>
      </c>
      <c r="B895" s="64" t="n">
        <v>45950</v>
      </c>
      <c r="C895" s="35" t="s">
        <v>2395</v>
      </c>
      <c r="D895" s="35" t="s">
        <v>935</v>
      </c>
      <c r="E895" s="35" t="n">
        <v>20</v>
      </c>
      <c r="F895" s="35" t="s">
        <v>235</v>
      </c>
      <c r="G895" s="35" t="s">
        <v>219</v>
      </c>
      <c r="H895" s="35" t="s">
        <v>210</v>
      </c>
      <c r="I895" s="35" t="s">
        <v>201</v>
      </c>
      <c r="J895" s="35" t="n">
        <v>1</v>
      </c>
      <c r="K895" s="65" t="n">
        <v>31247.14</v>
      </c>
      <c r="L895" s="65" t="n">
        <v>31247.14</v>
      </c>
      <c r="M895" s="66" t="n">
        <f aca="false">DATE(YEAR(B895),MONTH(B895),1)</f>
        <v>45931</v>
      </c>
      <c r="N895" s="35" t="str">
        <f aca="false">IF(G895="","Unknown",G895)</f>
        <v>Mumbai</v>
      </c>
      <c r="O895" s="35" t="str">
        <f aca="false">IF(E895="","Unknown",IF(E895&lt;=25,"18-25",IF(E895&lt;=35,"26-35",IF(E895&lt;=45,"36-45",IF(E895&lt;=55,"46-55","56-65")))))</f>
        <v>18-25</v>
      </c>
      <c r="P895" s="35" t="n">
        <f aca="false">COUNTIF($C$2:$C$1001,C895)</f>
        <v>1</v>
      </c>
      <c r="Q895" s="35" t="n">
        <f aca="false">IF(COUNTIF($C$2:C895,C895)=1,1,0)</f>
        <v>1</v>
      </c>
    </row>
    <row r="896" customFormat="false" ht="15" hidden="false" customHeight="false" outlineLevel="0" collapsed="false">
      <c r="A896" s="35" t="s">
        <v>2396</v>
      </c>
      <c r="B896" s="64" t="n">
        <v>45966</v>
      </c>
      <c r="C896" s="35" t="s">
        <v>2397</v>
      </c>
      <c r="D896" s="35" t="s">
        <v>1046</v>
      </c>
      <c r="E896" s="35" t="n">
        <v>49</v>
      </c>
      <c r="F896" s="35" t="s">
        <v>234</v>
      </c>
      <c r="G896" s="35" t="s">
        <v>216</v>
      </c>
      <c r="H896" s="35" t="s">
        <v>211</v>
      </c>
      <c r="I896" s="35" t="s">
        <v>202</v>
      </c>
      <c r="J896" s="35" t="n">
        <v>3</v>
      </c>
      <c r="K896" s="65" t="n">
        <v>15350</v>
      </c>
      <c r="L896" s="65" t="n">
        <v>46050</v>
      </c>
      <c r="M896" s="66" t="n">
        <f aca="false">DATE(YEAR(B896),MONTH(B896),1)</f>
        <v>45962</v>
      </c>
      <c r="N896" s="35" t="str">
        <f aca="false">IF(G896="","Unknown",G896)</f>
        <v>Patna</v>
      </c>
      <c r="O896" s="35" t="str">
        <f aca="false">IF(E896="","Unknown",IF(E896&lt;=25,"18-25",IF(E896&lt;=35,"26-35",IF(E896&lt;=45,"36-45",IF(E896&lt;=55,"46-55","56-65")))))</f>
        <v>46-55</v>
      </c>
      <c r="P896" s="35" t="n">
        <f aca="false">COUNTIF($C$2:$C$1001,C896)</f>
        <v>1</v>
      </c>
      <c r="Q896" s="35" t="n">
        <f aca="false">IF(COUNTIF($C$2:C896,C896)=1,1,0)</f>
        <v>1</v>
      </c>
    </row>
    <row r="897" customFormat="false" ht="15" hidden="false" customHeight="false" outlineLevel="0" collapsed="false">
      <c r="A897" s="35" t="s">
        <v>2398</v>
      </c>
      <c r="B897" s="64" t="n">
        <v>45815</v>
      </c>
      <c r="C897" s="35" t="s">
        <v>2399</v>
      </c>
      <c r="D897" s="35" t="s">
        <v>1594</v>
      </c>
      <c r="E897" s="35" t="n">
        <v>58</v>
      </c>
      <c r="F897" s="35" t="s">
        <v>234</v>
      </c>
      <c r="G897" s="35" t="s">
        <v>216</v>
      </c>
      <c r="H897" s="35" t="s">
        <v>212</v>
      </c>
      <c r="I897" s="35" t="s">
        <v>203</v>
      </c>
      <c r="J897" s="35" t="n">
        <v>9</v>
      </c>
      <c r="K897" s="65" t="n">
        <v>7148.05</v>
      </c>
      <c r="L897" s="65" t="n">
        <v>64332.45</v>
      </c>
      <c r="M897" s="66" t="n">
        <f aca="false">DATE(YEAR(B897),MONTH(B897),1)</f>
        <v>45809</v>
      </c>
      <c r="N897" s="35" t="str">
        <f aca="false">IF(G897="","Unknown",G897)</f>
        <v>Patna</v>
      </c>
      <c r="O897" s="35" t="str">
        <f aca="false">IF(E897="","Unknown",IF(E897&lt;=25,"18-25",IF(E897&lt;=35,"26-35",IF(E897&lt;=45,"36-45",IF(E897&lt;=55,"46-55","56-65")))))</f>
        <v>56-65</v>
      </c>
      <c r="P897" s="35" t="n">
        <f aca="false">COUNTIF($C$2:$C$1001,C897)</f>
        <v>1</v>
      </c>
      <c r="Q897" s="35" t="n">
        <f aca="false">IF(COUNTIF($C$2:C897,C897)=1,1,0)</f>
        <v>1</v>
      </c>
    </row>
    <row r="898" customFormat="false" ht="15" hidden="false" customHeight="false" outlineLevel="0" collapsed="false">
      <c r="A898" s="35" t="s">
        <v>2400</v>
      </c>
      <c r="B898" s="64" t="n">
        <v>45963</v>
      </c>
      <c r="C898" s="35" t="s">
        <v>2401</v>
      </c>
      <c r="D898" s="35" t="s">
        <v>370</v>
      </c>
      <c r="E898" s="35" t="n">
        <v>20</v>
      </c>
      <c r="F898" s="35" t="s">
        <v>235</v>
      </c>
      <c r="G898" s="35" t="s">
        <v>216</v>
      </c>
      <c r="H898" s="35" t="s">
        <v>208</v>
      </c>
      <c r="I898" s="35" t="s">
        <v>200</v>
      </c>
      <c r="J898" s="35" t="n">
        <v>8</v>
      </c>
      <c r="K898" s="65" t="n">
        <v>25411.08</v>
      </c>
      <c r="L898" s="65" t="n">
        <v>203288.64</v>
      </c>
      <c r="M898" s="66" t="n">
        <f aca="false">DATE(YEAR(B898),MONTH(B898),1)</f>
        <v>45962</v>
      </c>
      <c r="N898" s="35" t="str">
        <f aca="false">IF(G898="","Unknown",G898)</f>
        <v>Patna</v>
      </c>
      <c r="O898" s="35" t="str">
        <f aca="false">IF(E898="","Unknown",IF(E898&lt;=25,"18-25",IF(E898&lt;=35,"26-35",IF(E898&lt;=45,"36-45",IF(E898&lt;=55,"46-55","56-65")))))</f>
        <v>18-25</v>
      </c>
      <c r="P898" s="35" t="n">
        <f aca="false">COUNTIF($C$2:$C$1001,C898)</f>
        <v>1</v>
      </c>
      <c r="Q898" s="35" t="n">
        <f aca="false">IF(COUNTIF($C$2:C898,C898)=1,1,0)</f>
        <v>1</v>
      </c>
    </row>
    <row r="899" customFormat="false" ht="15" hidden="false" customHeight="false" outlineLevel="0" collapsed="false">
      <c r="A899" s="35" t="s">
        <v>2402</v>
      </c>
      <c r="B899" s="64" t="n">
        <v>46006</v>
      </c>
      <c r="C899" s="35" t="s">
        <v>2403</v>
      </c>
      <c r="D899" s="35" t="s">
        <v>1007</v>
      </c>
      <c r="E899" s="35" t="n">
        <v>64</v>
      </c>
      <c r="F899" s="35" t="s">
        <v>234</v>
      </c>
      <c r="G899" s="35" t="s">
        <v>222</v>
      </c>
      <c r="H899" s="35" t="s">
        <v>213</v>
      </c>
      <c r="I899" s="35" t="s">
        <v>204</v>
      </c>
      <c r="J899" s="35" t="n">
        <v>10</v>
      </c>
      <c r="K899" s="65" t="n">
        <v>28254.51</v>
      </c>
      <c r="L899" s="65" t="n">
        <v>282545.1</v>
      </c>
      <c r="M899" s="66" t="n">
        <f aca="false">DATE(YEAR(B899),MONTH(B899),1)</f>
        <v>45992</v>
      </c>
      <c r="N899" s="35" t="str">
        <f aca="false">IF(G899="","Unknown",G899)</f>
        <v>Pune</v>
      </c>
      <c r="O899" s="35" t="str">
        <f aca="false">IF(E899="","Unknown",IF(E899&lt;=25,"18-25",IF(E899&lt;=35,"26-35",IF(E899&lt;=45,"36-45",IF(E899&lt;=55,"46-55","56-65")))))</f>
        <v>56-65</v>
      </c>
      <c r="P899" s="35" t="n">
        <f aca="false">COUNTIF($C$2:$C$1001,C899)</f>
        <v>1</v>
      </c>
      <c r="Q899" s="35" t="n">
        <f aca="false">IF(COUNTIF($C$2:C899,C899)=1,1,0)</f>
        <v>1</v>
      </c>
    </row>
    <row r="900" customFormat="false" ht="15" hidden="false" customHeight="false" outlineLevel="0" collapsed="false">
      <c r="A900" s="35" t="s">
        <v>2404</v>
      </c>
      <c r="B900" s="64" t="n">
        <v>45774</v>
      </c>
      <c r="C900" s="35" t="s">
        <v>2405</v>
      </c>
      <c r="D900" s="35" t="s">
        <v>2406</v>
      </c>
      <c r="E900" s="35"/>
      <c r="F900" s="35" t="s">
        <v>235</v>
      </c>
      <c r="G900" s="35"/>
      <c r="H900" s="35" t="s">
        <v>208</v>
      </c>
      <c r="I900" s="35" t="s">
        <v>200</v>
      </c>
      <c r="J900" s="35" t="n">
        <v>5</v>
      </c>
      <c r="K900" s="65" t="n">
        <v>5069.79</v>
      </c>
      <c r="L900" s="65" t="n">
        <v>25348.95</v>
      </c>
      <c r="M900" s="66" t="n">
        <f aca="false">DATE(YEAR(B900),MONTH(B900),1)</f>
        <v>45748</v>
      </c>
      <c r="N900" s="35" t="str">
        <f aca="false">IF(G900="","Unknown",G900)</f>
        <v>Unknown</v>
      </c>
      <c r="O900" s="35" t="str">
        <f aca="false">IF(E900="","Unknown",IF(E900&lt;=25,"18-25",IF(E900&lt;=35,"26-35",IF(E900&lt;=45,"36-45",IF(E900&lt;=55,"46-55","56-65")))))</f>
        <v>Unknown</v>
      </c>
      <c r="P900" s="35" t="n">
        <f aca="false">COUNTIF($C$2:$C$1001,C900)</f>
        <v>1</v>
      </c>
      <c r="Q900" s="35" t="n">
        <f aca="false">IF(COUNTIF($C$2:C900,C900)=1,1,0)</f>
        <v>1</v>
      </c>
    </row>
    <row r="901" customFormat="false" ht="15" hidden="false" customHeight="false" outlineLevel="0" collapsed="false">
      <c r="A901" s="35" t="s">
        <v>2407</v>
      </c>
      <c r="B901" s="64" t="n">
        <v>45951</v>
      </c>
      <c r="C901" s="35" t="s">
        <v>2408</v>
      </c>
      <c r="D901" s="35" t="s">
        <v>2409</v>
      </c>
      <c r="E901" s="35" t="n">
        <v>39</v>
      </c>
      <c r="F901" s="35" t="s">
        <v>235</v>
      </c>
      <c r="G901" s="35" t="s">
        <v>218</v>
      </c>
      <c r="H901" s="35" t="s">
        <v>209</v>
      </c>
      <c r="I901" s="35" t="s">
        <v>200</v>
      </c>
      <c r="J901" s="35" t="n">
        <v>3</v>
      </c>
      <c r="K901" s="65" t="n">
        <v>39619.15</v>
      </c>
      <c r="L901" s="65" t="n">
        <v>118857.45</v>
      </c>
      <c r="M901" s="66" t="n">
        <f aca="false">DATE(YEAR(B901),MONTH(B901),1)</f>
        <v>45931</v>
      </c>
      <c r="N901" s="35" t="str">
        <f aca="false">IF(G901="","Unknown",G901)</f>
        <v>Bengaluru</v>
      </c>
      <c r="O901" s="35" t="str">
        <f aca="false">IF(E901="","Unknown",IF(E901&lt;=25,"18-25",IF(E901&lt;=35,"26-35",IF(E901&lt;=45,"36-45",IF(E901&lt;=55,"46-55","56-65")))))</f>
        <v>36-45</v>
      </c>
      <c r="P901" s="35" t="n">
        <f aca="false">COUNTIF($C$2:$C$1001,C901)</f>
        <v>1</v>
      </c>
      <c r="Q901" s="35" t="n">
        <f aca="false">IF(COUNTIF($C$2:C901,C901)=1,1,0)</f>
        <v>1</v>
      </c>
    </row>
    <row r="902" customFormat="false" ht="15" hidden="false" customHeight="false" outlineLevel="0" collapsed="false">
      <c r="A902" s="35" t="s">
        <v>2410</v>
      </c>
      <c r="B902" s="64" t="n">
        <v>45980</v>
      </c>
      <c r="C902" s="35" t="s">
        <v>2411</v>
      </c>
      <c r="D902" s="35" t="s">
        <v>1120</v>
      </c>
      <c r="E902" s="35" t="n">
        <v>41</v>
      </c>
      <c r="F902" s="35" t="s">
        <v>235</v>
      </c>
      <c r="G902" s="35" t="s">
        <v>221</v>
      </c>
      <c r="H902" s="35" t="s">
        <v>208</v>
      </c>
      <c r="I902" s="35" t="s">
        <v>200</v>
      </c>
      <c r="J902" s="35" t="n">
        <v>7</v>
      </c>
      <c r="K902" s="65" t="n">
        <v>42494.73</v>
      </c>
      <c r="L902" s="65" t="n">
        <v>297463.11</v>
      </c>
      <c r="M902" s="66" t="n">
        <f aca="false">DATE(YEAR(B902),MONTH(B902),1)</f>
        <v>45962</v>
      </c>
      <c r="N902" s="35" t="str">
        <f aca="false">IF(G902="","Unknown",G902)</f>
        <v>Delhi</v>
      </c>
      <c r="O902" s="35" t="str">
        <f aca="false">IF(E902="","Unknown",IF(E902&lt;=25,"18-25",IF(E902&lt;=35,"26-35",IF(E902&lt;=45,"36-45",IF(E902&lt;=55,"46-55","56-65")))))</f>
        <v>36-45</v>
      </c>
      <c r="P902" s="35" t="n">
        <f aca="false">COUNTIF($C$2:$C$1001,C902)</f>
        <v>1</v>
      </c>
      <c r="Q902" s="35" t="n">
        <f aca="false">IF(COUNTIF($C$2:C902,C902)=1,1,0)</f>
        <v>1</v>
      </c>
    </row>
    <row r="903" customFormat="false" ht="15" hidden="false" customHeight="false" outlineLevel="0" collapsed="false">
      <c r="A903" s="35" t="s">
        <v>2412</v>
      </c>
      <c r="B903" s="64" t="n">
        <v>45973</v>
      </c>
      <c r="C903" s="35" t="s">
        <v>2413</v>
      </c>
      <c r="D903" s="35" t="s">
        <v>648</v>
      </c>
      <c r="E903" s="35" t="n">
        <v>56</v>
      </c>
      <c r="F903" s="35" t="s">
        <v>234</v>
      </c>
      <c r="G903" s="35" t="s">
        <v>216</v>
      </c>
      <c r="H903" s="35" t="s">
        <v>213</v>
      </c>
      <c r="I903" s="35" t="s">
        <v>204</v>
      </c>
      <c r="J903" s="35" t="n">
        <v>6</v>
      </c>
      <c r="K903" s="65" t="n">
        <v>24739.29</v>
      </c>
      <c r="L903" s="65" t="n">
        <v>148435.74</v>
      </c>
      <c r="M903" s="66" t="n">
        <f aca="false">DATE(YEAR(B903),MONTH(B903),1)</f>
        <v>45962</v>
      </c>
      <c r="N903" s="35" t="str">
        <f aca="false">IF(G903="","Unknown",G903)</f>
        <v>Patna</v>
      </c>
      <c r="O903" s="35" t="str">
        <f aca="false">IF(E903="","Unknown",IF(E903&lt;=25,"18-25",IF(E903&lt;=35,"26-35",IF(E903&lt;=45,"36-45",IF(E903&lt;=55,"46-55","56-65")))))</f>
        <v>56-65</v>
      </c>
      <c r="P903" s="35" t="n">
        <f aca="false">COUNTIF($C$2:$C$1001,C903)</f>
        <v>1</v>
      </c>
      <c r="Q903" s="35" t="n">
        <f aca="false">IF(COUNTIF($C$2:C903,C903)=1,1,0)</f>
        <v>1</v>
      </c>
    </row>
    <row r="904" customFormat="false" ht="15" hidden="false" customHeight="false" outlineLevel="0" collapsed="false">
      <c r="A904" s="35" t="s">
        <v>2414</v>
      </c>
      <c r="B904" s="64" t="n">
        <v>45741</v>
      </c>
      <c r="C904" s="35" t="s">
        <v>2415</v>
      </c>
      <c r="D904" s="35" t="s">
        <v>468</v>
      </c>
      <c r="E904" s="35" t="n">
        <v>21</v>
      </c>
      <c r="F904" s="35" t="s">
        <v>234</v>
      </c>
      <c r="G904" s="35" t="s">
        <v>223</v>
      </c>
      <c r="H904" s="35" t="s">
        <v>212</v>
      </c>
      <c r="I904" s="35" t="s">
        <v>203</v>
      </c>
      <c r="J904" s="35" t="n">
        <v>3</v>
      </c>
      <c r="K904" s="65" t="n">
        <v>43166.95</v>
      </c>
      <c r="L904" s="65" t="n">
        <v>129500.85</v>
      </c>
      <c r="M904" s="66" t="n">
        <f aca="false">DATE(YEAR(B904),MONTH(B904),1)</f>
        <v>45717</v>
      </c>
      <c r="N904" s="35" t="str">
        <f aca="false">IF(G904="","Unknown",G904)</f>
        <v>Gaya</v>
      </c>
      <c r="O904" s="35" t="str">
        <f aca="false">IF(E904="","Unknown",IF(E904&lt;=25,"18-25",IF(E904&lt;=35,"26-35",IF(E904&lt;=45,"36-45",IF(E904&lt;=55,"46-55","56-65")))))</f>
        <v>18-25</v>
      </c>
      <c r="P904" s="35" t="n">
        <f aca="false">COUNTIF($C$2:$C$1001,C904)</f>
        <v>1</v>
      </c>
      <c r="Q904" s="35" t="n">
        <f aca="false">IF(COUNTIF($C$2:C904,C904)=1,1,0)</f>
        <v>1</v>
      </c>
    </row>
    <row r="905" customFormat="false" ht="15" hidden="false" customHeight="false" outlineLevel="0" collapsed="false">
      <c r="A905" s="35" t="s">
        <v>2416</v>
      </c>
      <c r="B905" s="64" t="n">
        <v>45668</v>
      </c>
      <c r="C905" s="35" t="s">
        <v>2417</v>
      </c>
      <c r="D905" s="35" t="s">
        <v>2339</v>
      </c>
      <c r="E905" s="35" t="n">
        <v>49</v>
      </c>
      <c r="F905" s="35" t="s">
        <v>234</v>
      </c>
      <c r="G905" s="35" t="s">
        <v>221</v>
      </c>
      <c r="H905" s="35" t="s">
        <v>212</v>
      </c>
      <c r="I905" s="35" t="s">
        <v>203</v>
      </c>
      <c r="J905" s="35" t="n">
        <v>6</v>
      </c>
      <c r="K905" s="65" t="n">
        <v>43613.07</v>
      </c>
      <c r="L905" s="65" t="n">
        <v>261678.42</v>
      </c>
      <c r="M905" s="66" t="n">
        <f aca="false">DATE(YEAR(B905),MONTH(B905),1)</f>
        <v>45658</v>
      </c>
      <c r="N905" s="35" t="str">
        <f aca="false">IF(G905="","Unknown",G905)</f>
        <v>Delhi</v>
      </c>
      <c r="O905" s="35" t="str">
        <f aca="false">IF(E905="","Unknown",IF(E905&lt;=25,"18-25",IF(E905&lt;=35,"26-35",IF(E905&lt;=45,"36-45",IF(E905&lt;=55,"46-55","56-65")))))</f>
        <v>46-55</v>
      </c>
      <c r="P905" s="35" t="n">
        <f aca="false">COUNTIF($C$2:$C$1001,C905)</f>
        <v>1</v>
      </c>
      <c r="Q905" s="35" t="n">
        <f aca="false">IF(COUNTIF($C$2:C905,C905)=1,1,0)</f>
        <v>1</v>
      </c>
    </row>
    <row r="906" customFormat="false" ht="15" hidden="false" customHeight="false" outlineLevel="0" collapsed="false">
      <c r="A906" s="35" t="s">
        <v>2418</v>
      </c>
      <c r="B906" s="64" t="n">
        <v>45992</v>
      </c>
      <c r="C906" s="35" t="s">
        <v>2419</v>
      </c>
      <c r="D906" s="35" t="s">
        <v>2420</v>
      </c>
      <c r="E906" s="35" t="n">
        <v>36</v>
      </c>
      <c r="F906" s="35" t="s">
        <v>234</v>
      </c>
      <c r="G906" s="35" t="s">
        <v>220</v>
      </c>
      <c r="H906" s="35" t="s">
        <v>212</v>
      </c>
      <c r="I906" s="35" t="s">
        <v>203</v>
      </c>
      <c r="J906" s="35" t="n">
        <v>2</v>
      </c>
      <c r="K906" s="65" t="n">
        <v>20357.35</v>
      </c>
      <c r="L906" s="65" t="n">
        <v>40714.7</v>
      </c>
      <c r="M906" s="66" t="n">
        <f aca="false">DATE(YEAR(B906),MONTH(B906),1)</f>
        <v>45992</v>
      </c>
      <c r="N906" s="35" t="str">
        <f aca="false">IF(G906="","Unknown",G906)</f>
        <v>Hyderabad</v>
      </c>
      <c r="O906" s="35" t="str">
        <f aca="false">IF(E906="","Unknown",IF(E906&lt;=25,"18-25",IF(E906&lt;=35,"26-35",IF(E906&lt;=45,"36-45",IF(E906&lt;=55,"46-55","56-65")))))</f>
        <v>36-45</v>
      </c>
      <c r="P906" s="35" t="n">
        <f aca="false">COUNTIF($C$2:$C$1001,C906)</f>
        <v>1</v>
      </c>
      <c r="Q906" s="35" t="n">
        <f aca="false">IF(COUNTIF($C$2:C906,C906)=1,1,0)</f>
        <v>1</v>
      </c>
    </row>
    <row r="907" customFormat="false" ht="15" hidden="false" customHeight="false" outlineLevel="0" collapsed="false">
      <c r="A907" s="35" t="s">
        <v>2421</v>
      </c>
      <c r="B907" s="64" t="n">
        <v>45676</v>
      </c>
      <c r="C907" s="35" t="s">
        <v>2422</v>
      </c>
      <c r="D907" s="35" t="s">
        <v>1126</v>
      </c>
      <c r="E907" s="35" t="n">
        <v>33</v>
      </c>
      <c r="F907" s="35" t="s">
        <v>234</v>
      </c>
      <c r="G907" s="35" t="s">
        <v>219</v>
      </c>
      <c r="H907" s="35" t="s">
        <v>212</v>
      </c>
      <c r="I907" s="35" t="s">
        <v>203</v>
      </c>
      <c r="J907" s="35" t="n">
        <v>5</v>
      </c>
      <c r="K907" s="65" t="n">
        <v>40193.89</v>
      </c>
      <c r="L907" s="65" t="n">
        <v>200969.45</v>
      </c>
      <c r="M907" s="66" t="n">
        <f aca="false">DATE(YEAR(B907),MONTH(B907),1)</f>
        <v>45658</v>
      </c>
      <c r="N907" s="35" t="str">
        <f aca="false">IF(G907="","Unknown",G907)</f>
        <v>Mumbai</v>
      </c>
      <c r="O907" s="35" t="str">
        <f aca="false">IF(E907="","Unknown",IF(E907&lt;=25,"18-25",IF(E907&lt;=35,"26-35",IF(E907&lt;=45,"36-45",IF(E907&lt;=55,"46-55","56-65")))))</f>
        <v>26-35</v>
      </c>
      <c r="P907" s="35" t="n">
        <f aca="false">COUNTIF($C$2:$C$1001,C907)</f>
        <v>1</v>
      </c>
      <c r="Q907" s="35" t="n">
        <f aca="false">IF(COUNTIF($C$2:C907,C907)=1,1,0)</f>
        <v>1</v>
      </c>
    </row>
    <row r="908" customFormat="false" ht="15" hidden="false" customHeight="false" outlineLevel="0" collapsed="false">
      <c r="A908" s="35" t="s">
        <v>2423</v>
      </c>
      <c r="B908" s="64" t="n">
        <v>45702</v>
      </c>
      <c r="C908" s="35" t="s">
        <v>2424</v>
      </c>
      <c r="D908" s="35" t="s">
        <v>1311</v>
      </c>
      <c r="E908" s="35" t="n">
        <v>55</v>
      </c>
      <c r="F908" s="35" t="s">
        <v>234</v>
      </c>
      <c r="G908" s="35" t="s">
        <v>220</v>
      </c>
      <c r="H908" s="35" t="s">
        <v>212</v>
      </c>
      <c r="I908" s="35" t="s">
        <v>203</v>
      </c>
      <c r="J908" s="35" t="n">
        <v>2</v>
      </c>
      <c r="K908" s="65" t="n">
        <v>9063.83</v>
      </c>
      <c r="L908" s="65" t="n">
        <v>18127.66</v>
      </c>
      <c r="M908" s="66" t="n">
        <f aca="false">DATE(YEAR(B908),MONTH(B908),1)</f>
        <v>45689</v>
      </c>
      <c r="N908" s="35" t="str">
        <f aca="false">IF(G908="","Unknown",G908)</f>
        <v>Hyderabad</v>
      </c>
      <c r="O908" s="35" t="str">
        <f aca="false">IF(E908="","Unknown",IF(E908&lt;=25,"18-25",IF(E908&lt;=35,"26-35",IF(E908&lt;=45,"36-45",IF(E908&lt;=55,"46-55","56-65")))))</f>
        <v>46-55</v>
      </c>
      <c r="P908" s="35" t="n">
        <f aca="false">COUNTIF($C$2:$C$1001,C908)</f>
        <v>1</v>
      </c>
      <c r="Q908" s="35" t="n">
        <f aca="false">IF(COUNTIF($C$2:C908,C908)=1,1,0)</f>
        <v>1</v>
      </c>
    </row>
    <row r="909" customFormat="false" ht="15" hidden="false" customHeight="false" outlineLevel="0" collapsed="false">
      <c r="A909" s="35" t="s">
        <v>2425</v>
      </c>
      <c r="B909" s="64" t="n">
        <v>45882</v>
      </c>
      <c r="C909" s="35" t="s">
        <v>2426</v>
      </c>
      <c r="D909" s="35" t="s">
        <v>266</v>
      </c>
      <c r="E909" s="35" t="n">
        <v>64</v>
      </c>
      <c r="F909" s="35" t="s">
        <v>235</v>
      </c>
      <c r="G909" s="35" t="s">
        <v>221</v>
      </c>
      <c r="H909" s="35" t="s">
        <v>208</v>
      </c>
      <c r="I909" s="35" t="s">
        <v>200</v>
      </c>
      <c r="J909" s="35" t="n">
        <v>5</v>
      </c>
      <c r="K909" s="65" t="n">
        <v>21830.06</v>
      </c>
      <c r="L909" s="65" t="n">
        <v>109150.3</v>
      </c>
      <c r="M909" s="66" t="n">
        <f aca="false">DATE(YEAR(B909),MONTH(B909),1)</f>
        <v>45870</v>
      </c>
      <c r="N909" s="35" t="str">
        <f aca="false">IF(G909="","Unknown",G909)</f>
        <v>Delhi</v>
      </c>
      <c r="O909" s="35" t="str">
        <f aca="false">IF(E909="","Unknown",IF(E909&lt;=25,"18-25",IF(E909&lt;=35,"26-35",IF(E909&lt;=45,"36-45",IF(E909&lt;=55,"46-55","56-65")))))</f>
        <v>56-65</v>
      </c>
      <c r="P909" s="35" t="n">
        <f aca="false">COUNTIF($C$2:$C$1001,C909)</f>
        <v>1</v>
      </c>
      <c r="Q909" s="35" t="n">
        <f aca="false">IF(COUNTIF($C$2:C909,C909)=1,1,0)</f>
        <v>1</v>
      </c>
    </row>
    <row r="910" customFormat="false" ht="15" hidden="false" customHeight="false" outlineLevel="0" collapsed="false">
      <c r="A910" s="35" t="s">
        <v>2427</v>
      </c>
      <c r="B910" s="64" t="n">
        <v>45866</v>
      </c>
      <c r="C910" s="35" t="s">
        <v>2428</v>
      </c>
      <c r="D910" s="35" t="s">
        <v>2320</v>
      </c>
      <c r="E910" s="35" t="n">
        <v>48</v>
      </c>
      <c r="F910" s="35" t="s">
        <v>235</v>
      </c>
      <c r="G910" s="35" t="s">
        <v>220</v>
      </c>
      <c r="H910" s="35" t="s">
        <v>211</v>
      </c>
      <c r="I910" s="35" t="s">
        <v>202</v>
      </c>
      <c r="J910" s="35" t="n">
        <v>2</v>
      </c>
      <c r="K910" s="65" t="n">
        <v>39424.04</v>
      </c>
      <c r="L910" s="65" t="n">
        <v>78848.08</v>
      </c>
      <c r="M910" s="66" t="n">
        <f aca="false">DATE(YEAR(B910),MONTH(B910),1)</f>
        <v>45839</v>
      </c>
      <c r="N910" s="35" t="str">
        <f aca="false">IF(G910="","Unknown",G910)</f>
        <v>Hyderabad</v>
      </c>
      <c r="O910" s="35" t="str">
        <f aca="false">IF(E910="","Unknown",IF(E910&lt;=25,"18-25",IF(E910&lt;=35,"26-35",IF(E910&lt;=45,"36-45",IF(E910&lt;=55,"46-55","56-65")))))</f>
        <v>46-55</v>
      </c>
      <c r="P910" s="35" t="n">
        <f aca="false">COUNTIF($C$2:$C$1001,C910)</f>
        <v>1</v>
      </c>
      <c r="Q910" s="35" t="n">
        <f aca="false">IF(COUNTIF($C$2:C910,C910)=1,1,0)</f>
        <v>1</v>
      </c>
    </row>
    <row r="911" customFormat="false" ht="15" hidden="false" customHeight="false" outlineLevel="0" collapsed="false">
      <c r="A911" s="35" t="s">
        <v>2429</v>
      </c>
      <c r="B911" s="64" t="n">
        <v>45814</v>
      </c>
      <c r="C911" s="35" t="s">
        <v>2430</v>
      </c>
      <c r="D911" s="35" t="s">
        <v>364</v>
      </c>
      <c r="E911" s="35" t="n">
        <v>55</v>
      </c>
      <c r="F911" s="35" t="s">
        <v>235</v>
      </c>
      <c r="G911" s="35" t="s">
        <v>219</v>
      </c>
      <c r="H911" s="35" t="s">
        <v>211</v>
      </c>
      <c r="I911" s="35" t="s">
        <v>202</v>
      </c>
      <c r="J911" s="35" t="n">
        <v>2</v>
      </c>
      <c r="K911" s="65" t="n">
        <v>30743.1</v>
      </c>
      <c r="L911" s="65" t="n">
        <v>61486.2</v>
      </c>
      <c r="M911" s="66" t="n">
        <f aca="false">DATE(YEAR(B911),MONTH(B911),1)</f>
        <v>45809</v>
      </c>
      <c r="N911" s="35" t="str">
        <f aca="false">IF(G911="","Unknown",G911)</f>
        <v>Mumbai</v>
      </c>
      <c r="O911" s="35" t="str">
        <f aca="false">IF(E911="","Unknown",IF(E911&lt;=25,"18-25",IF(E911&lt;=35,"26-35",IF(E911&lt;=45,"36-45",IF(E911&lt;=55,"46-55","56-65")))))</f>
        <v>46-55</v>
      </c>
      <c r="P911" s="35" t="n">
        <f aca="false">COUNTIF($C$2:$C$1001,C911)</f>
        <v>1</v>
      </c>
      <c r="Q911" s="35" t="n">
        <f aca="false">IF(COUNTIF($C$2:C911,C911)=1,1,0)</f>
        <v>1</v>
      </c>
    </row>
    <row r="912" customFormat="false" ht="15" hidden="false" customHeight="false" outlineLevel="0" collapsed="false">
      <c r="A912" s="35" t="s">
        <v>2431</v>
      </c>
      <c r="B912" s="64" t="n">
        <v>45698</v>
      </c>
      <c r="C912" s="35" t="s">
        <v>2432</v>
      </c>
      <c r="D912" s="35" t="s">
        <v>991</v>
      </c>
      <c r="E912" s="35" t="n">
        <v>49</v>
      </c>
      <c r="F912" s="35" t="s">
        <v>234</v>
      </c>
      <c r="G912" s="35" t="s">
        <v>223</v>
      </c>
      <c r="H912" s="35" t="s">
        <v>208</v>
      </c>
      <c r="I912" s="35" t="s">
        <v>200</v>
      </c>
      <c r="J912" s="35" t="n">
        <v>3</v>
      </c>
      <c r="K912" s="65" t="n">
        <v>10131.58</v>
      </c>
      <c r="L912" s="65" t="n">
        <v>30394.74</v>
      </c>
      <c r="M912" s="66" t="n">
        <f aca="false">DATE(YEAR(B912),MONTH(B912),1)</f>
        <v>45689</v>
      </c>
      <c r="N912" s="35" t="str">
        <f aca="false">IF(G912="","Unknown",G912)</f>
        <v>Gaya</v>
      </c>
      <c r="O912" s="35" t="str">
        <f aca="false">IF(E912="","Unknown",IF(E912&lt;=25,"18-25",IF(E912&lt;=35,"26-35",IF(E912&lt;=45,"36-45",IF(E912&lt;=55,"46-55","56-65")))))</f>
        <v>46-55</v>
      </c>
      <c r="P912" s="35" t="n">
        <f aca="false">COUNTIF($C$2:$C$1001,C912)</f>
        <v>1</v>
      </c>
      <c r="Q912" s="35" t="n">
        <f aca="false">IF(COUNTIF($C$2:C912,C912)=1,1,0)</f>
        <v>1</v>
      </c>
    </row>
    <row r="913" customFormat="false" ht="15" hidden="false" customHeight="false" outlineLevel="0" collapsed="false">
      <c r="A913" s="35" t="s">
        <v>2433</v>
      </c>
      <c r="B913" s="64" t="n">
        <v>45781</v>
      </c>
      <c r="C913" s="35" t="s">
        <v>2434</v>
      </c>
      <c r="D913" s="35" t="s">
        <v>1306</v>
      </c>
      <c r="E913" s="35" t="n">
        <v>28</v>
      </c>
      <c r="F913" s="35" t="s">
        <v>235</v>
      </c>
      <c r="G913" s="35" t="s">
        <v>216</v>
      </c>
      <c r="H913" s="35" t="s">
        <v>210</v>
      </c>
      <c r="I913" s="35" t="s">
        <v>201</v>
      </c>
      <c r="J913" s="35" t="n">
        <v>1</v>
      </c>
      <c r="K913" s="65" t="n">
        <v>20875.52</v>
      </c>
      <c r="L913" s="65" t="n">
        <v>20875.52</v>
      </c>
      <c r="M913" s="66" t="n">
        <f aca="false">DATE(YEAR(B913),MONTH(B913),1)</f>
        <v>45778</v>
      </c>
      <c r="N913" s="35" t="str">
        <f aca="false">IF(G913="","Unknown",G913)</f>
        <v>Patna</v>
      </c>
      <c r="O913" s="35" t="str">
        <f aca="false">IF(E913="","Unknown",IF(E913&lt;=25,"18-25",IF(E913&lt;=35,"26-35",IF(E913&lt;=45,"36-45",IF(E913&lt;=55,"46-55","56-65")))))</f>
        <v>26-35</v>
      </c>
      <c r="P913" s="35" t="n">
        <f aca="false">COUNTIF($C$2:$C$1001,C913)</f>
        <v>1</v>
      </c>
      <c r="Q913" s="35" t="n">
        <f aca="false">IF(COUNTIF($C$2:C913,C913)=1,1,0)</f>
        <v>1</v>
      </c>
    </row>
    <row r="914" customFormat="false" ht="15" hidden="false" customHeight="false" outlineLevel="0" collapsed="false">
      <c r="A914" s="35" t="s">
        <v>2435</v>
      </c>
      <c r="B914" s="64" t="n">
        <v>45866</v>
      </c>
      <c r="C914" s="35" t="s">
        <v>1480</v>
      </c>
      <c r="D914" s="35" t="s">
        <v>1634</v>
      </c>
      <c r="E914" s="35" t="n">
        <v>22</v>
      </c>
      <c r="F914" s="35" t="s">
        <v>235</v>
      </c>
      <c r="G914" s="35" t="s">
        <v>222</v>
      </c>
      <c r="H914" s="35" t="s">
        <v>213</v>
      </c>
      <c r="I914" s="35" t="s">
        <v>204</v>
      </c>
      <c r="J914" s="35" t="n">
        <v>3</v>
      </c>
      <c r="K914" s="65" t="n">
        <v>43152.69</v>
      </c>
      <c r="L914" s="65" t="n">
        <v>129458.07</v>
      </c>
      <c r="M914" s="66" t="n">
        <f aca="false">DATE(YEAR(B914),MONTH(B914),1)</f>
        <v>45839</v>
      </c>
      <c r="N914" s="35" t="str">
        <f aca="false">IF(G914="","Unknown",G914)</f>
        <v>Pune</v>
      </c>
      <c r="O914" s="35" t="str">
        <f aca="false">IF(E914="","Unknown",IF(E914&lt;=25,"18-25",IF(E914&lt;=35,"26-35",IF(E914&lt;=45,"36-45",IF(E914&lt;=55,"46-55","56-65")))))</f>
        <v>18-25</v>
      </c>
      <c r="P914" s="35" t="n">
        <f aca="false">COUNTIF($C$2:$C$1001,C914)</f>
        <v>2</v>
      </c>
      <c r="Q914" s="35" t="n">
        <f aca="false">IF(COUNTIF($C$2:C914,C914)=1,1,0)</f>
        <v>0</v>
      </c>
    </row>
    <row r="915" customFormat="false" ht="15" hidden="false" customHeight="false" outlineLevel="0" collapsed="false">
      <c r="A915" s="35" t="s">
        <v>2436</v>
      </c>
      <c r="B915" s="64" t="n">
        <v>45798</v>
      </c>
      <c r="C915" s="35" t="s">
        <v>2437</v>
      </c>
      <c r="D915" s="35" t="s">
        <v>1682</v>
      </c>
      <c r="E915" s="35" t="n">
        <v>58</v>
      </c>
      <c r="F915" s="35" t="s">
        <v>235</v>
      </c>
      <c r="G915" s="35" t="s">
        <v>220</v>
      </c>
      <c r="H915" s="35" t="s">
        <v>213</v>
      </c>
      <c r="I915" s="35" t="s">
        <v>204</v>
      </c>
      <c r="J915" s="35" t="n">
        <v>1</v>
      </c>
      <c r="K915" s="65" t="n">
        <v>3239.94</v>
      </c>
      <c r="L915" s="65" t="n">
        <v>3239.94</v>
      </c>
      <c r="M915" s="66" t="n">
        <f aca="false">DATE(YEAR(B915),MONTH(B915),1)</f>
        <v>45778</v>
      </c>
      <c r="N915" s="35" t="str">
        <f aca="false">IF(G915="","Unknown",G915)</f>
        <v>Hyderabad</v>
      </c>
      <c r="O915" s="35" t="str">
        <f aca="false">IF(E915="","Unknown",IF(E915&lt;=25,"18-25",IF(E915&lt;=35,"26-35",IF(E915&lt;=45,"36-45",IF(E915&lt;=55,"46-55","56-65")))))</f>
        <v>56-65</v>
      </c>
      <c r="P915" s="35" t="n">
        <f aca="false">COUNTIF($C$2:$C$1001,C915)</f>
        <v>1</v>
      </c>
      <c r="Q915" s="35" t="n">
        <f aca="false">IF(COUNTIF($C$2:C915,C915)=1,1,0)</f>
        <v>1</v>
      </c>
    </row>
    <row r="916" customFormat="false" ht="15" hidden="false" customHeight="false" outlineLevel="0" collapsed="false">
      <c r="A916" s="35" t="s">
        <v>2438</v>
      </c>
      <c r="B916" s="64" t="n">
        <v>45715</v>
      </c>
      <c r="C916" s="35" t="s">
        <v>2439</v>
      </c>
      <c r="D916" s="35" t="s">
        <v>453</v>
      </c>
      <c r="E916" s="35" t="n">
        <v>36</v>
      </c>
      <c r="F916" s="35" t="s">
        <v>235</v>
      </c>
      <c r="G916" s="35" t="s">
        <v>219</v>
      </c>
      <c r="H916" s="35" t="s">
        <v>213</v>
      </c>
      <c r="I916" s="35" t="s">
        <v>204</v>
      </c>
      <c r="J916" s="35" t="n">
        <v>1</v>
      </c>
      <c r="K916" s="65" t="n">
        <v>10625.65</v>
      </c>
      <c r="L916" s="65" t="n">
        <v>10625.65</v>
      </c>
      <c r="M916" s="66" t="n">
        <f aca="false">DATE(YEAR(B916),MONTH(B916),1)</f>
        <v>45689</v>
      </c>
      <c r="N916" s="35" t="str">
        <f aca="false">IF(G916="","Unknown",G916)</f>
        <v>Mumbai</v>
      </c>
      <c r="O916" s="35" t="str">
        <f aca="false">IF(E916="","Unknown",IF(E916&lt;=25,"18-25",IF(E916&lt;=35,"26-35",IF(E916&lt;=45,"36-45",IF(E916&lt;=55,"46-55","56-65")))))</f>
        <v>36-45</v>
      </c>
      <c r="P916" s="35" t="n">
        <f aca="false">COUNTIF($C$2:$C$1001,C916)</f>
        <v>1</v>
      </c>
      <c r="Q916" s="35" t="n">
        <f aca="false">IF(COUNTIF($C$2:C916,C916)=1,1,0)</f>
        <v>1</v>
      </c>
    </row>
    <row r="917" customFormat="false" ht="15" hidden="false" customHeight="false" outlineLevel="0" collapsed="false">
      <c r="A917" s="35" t="s">
        <v>2440</v>
      </c>
      <c r="B917" s="64" t="n">
        <v>45750</v>
      </c>
      <c r="C917" s="35" t="s">
        <v>2441</v>
      </c>
      <c r="D917" s="35" t="s">
        <v>421</v>
      </c>
      <c r="E917" s="35" t="n">
        <v>32</v>
      </c>
      <c r="F917" s="35" t="s">
        <v>235</v>
      </c>
      <c r="G917" s="35" t="s">
        <v>222</v>
      </c>
      <c r="H917" s="35" t="s">
        <v>209</v>
      </c>
      <c r="I917" s="35" t="s">
        <v>200</v>
      </c>
      <c r="J917" s="35" t="n">
        <v>3</v>
      </c>
      <c r="K917" s="65" t="n">
        <v>30169.38</v>
      </c>
      <c r="L917" s="65" t="n">
        <v>90508.14</v>
      </c>
      <c r="M917" s="66" t="n">
        <f aca="false">DATE(YEAR(B917),MONTH(B917),1)</f>
        <v>45748</v>
      </c>
      <c r="N917" s="35" t="str">
        <f aca="false">IF(G917="","Unknown",G917)</f>
        <v>Pune</v>
      </c>
      <c r="O917" s="35" t="str">
        <f aca="false">IF(E917="","Unknown",IF(E917&lt;=25,"18-25",IF(E917&lt;=35,"26-35",IF(E917&lt;=45,"36-45",IF(E917&lt;=55,"46-55","56-65")))))</f>
        <v>26-35</v>
      </c>
      <c r="P917" s="35" t="n">
        <f aca="false">COUNTIF($C$2:$C$1001,C917)</f>
        <v>1</v>
      </c>
      <c r="Q917" s="35" t="n">
        <f aca="false">IF(COUNTIF($C$2:C917,C917)=1,1,0)</f>
        <v>1</v>
      </c>
    </row>
    <row r="918" customFormat="false" ht="15" hidden="false" customHeight="false" outlineLevel="0" collapsed="false">
      <c r="A918" s="35" t="s">
        <v>2442</v>
      </c>
      <c r="B918" s="64" t="n">
        <v>45967</v>
      </c>
      <c r="C918" s="35" t="s">
        <v>2443</v>
      </c>
      <c r="D918" s="35" t="s">
        <v>1679</v>
      </c>
      <c r="E918" s="35" t="n">
        <v>29</v>
      </c>
      <c r="F918" s="35" t="s">
        <v>235</v>
      </c>
      <c r="G918" s="35" t="s">
        <v>216</v>
      </c>
      <c r="H918" s="35" t="s">
        <v>209</v>
      </c>
      <c r="I918" s="35" t="s">
        <v>200</v>
      </c>
      <c r="J918" s="35" t="n">
        <v>2</v>
      </c>
      <c r="K918" s="65" t="n">
        <v>29914.46</v>
      </c>
      <c r="L918" s="65" t="n">
        <v>59828.92</v>
      </c>
      <c r="M918" s="66" t="n">
        <f aca="false">DATE(YEAR(B918),MONTH(B918),1)</f>
        <v>45962</v>
      </c>
      <c r="N918" s="35" t="str">
        <f aca="false">IF(G918="","Unknown",G918)</f>
        <v>Patna</v>
      </c>
      <c r="O918" s="35" t="str">
        <f aca="false">IF(E918="","Unknown",IF(E918&lt;=25,"18-25",IF(E918&lt;=35,"26-35",IF(E918&lt;=45,"36-45",IF(E918&lt;=55,"46-55","56-65")))))</f>
        <v>26-35</v>
      </c>
      <c r="P918" s="35" t="n">
        <f aca="false">COUNTIF($C$2:$C$1001,C918)</f>
        <v>2</v>
      </c>
      <c r="Q918" s="35" t="n">
        <f aca="false">IF(COUNTIF($C$2:C918,C918)=1,1,0)</f>
        <v>1</v>
      </c>
    </row>
    <row r="919" customFormat="false" ht="15" hidden="false" customHeight="false" outlineLevel="0" collapsed="false">
      <c r="A919" s="35" t="s">
        <v>2444</v>
      </c>
      <c r="B919" s="64" t="n">
        <v>45980</v>
      </c>
      <c r="C919" s="35" t="s">
        <v>2445</v>
      </c>
      <c r="D919" s="35" t="s">
        <v>1694</v>
      </c>
      <c r="E919" s="35" t="n">
        <v>41</v>
      </c>
      <c r="F919" s="35" t="s">
        <v>235</v>
      </c>
      <c r="G919" s="35" t="s">
        <v>222</v>
      </c>
      <c r="H919" s="35" t="s">
        <v>213</v>
      </c>
      <c r="I919" s="35" t="s">
        <v>204</v>
      </c>
      <c r="J919" s="35" t="n">
        <v>5</v>
      </c>
      <c r="K919" s="65" t="n">
        <v>30991.63</v>
      </c>
      <c r="L919" s="65" t="n">
        <v>154958.15</v>
      </c>
      <c r="M919" s="66" t="n">
        <f aca="false">DATE(YEAR(B919),MONTH(B919),1)</f>
        <v>45962</v>
      </c>
      <c r="N919" s="35" t="str">
        <f aca="false">IF(G919="","Unknown",G919)</f>
        <v>Pune</v>
      </c>
      <c r="O919" s="35" t="str">
        <f aca="false">IF(E919="","Unknown",IF(E919&lt;=25,"18-25",IF(E919&lt;=35,"26-35",IF(E919&lt;=45,"36-45",IF(E919&lt;=55,"46-55","56-65")))))</f>
        <v>36-45</v>
      </c>
      <c r="P919" s="35" t="n">
        <f aca="false">COUNTIF($C$2:$C$1001,C919)</f>
        <v>1</v>
      </c>
      <c r="Q919" s="35" t="n">
        <f aca="false">IF(COUNTIF($C$2:C919,C919)=1,1,0)</f>
        <v>1</v>
      </c>
    </row>
    <row r="920" customFormat="false" ht="15" hidden="false" customHeight="false" outlineLevel="0" collapsed="false">
      <c r="A920" s="35" t="s">
        <v>2446</v>
      </c>
      <c r="B920" s="64" t="n">
        <v>45999</v>
      </c>
      <c r="C920" s="35" t="s">
        <v>2061</v>
      </c>
      <c r="D920" s="35" t="s">
        <v>1958</v>
      </c>
      <c r="E920" s="35" t="n">
        <v>36</v>
      </c>
      <c r="F920" s="35" t="s">
        <v>235</v>
      </c>
      <c r="G920" s="35" t="s">
        <v>218</v>
      </c>
      <c r="H920" s="35" t="s">
        <v>209</v>
      </c>
      <c r="I920" s="35" t="s">
        <v>200</v>
      </c>
      <c r="J920" s="35" t="n">
        <v>7</v>
      </c>
      <c r="K920" s="65" t="n">
        <v>15799.46</v>
      </c>
      <c r="L920" s="65" t="n">
        <v>110596.22</v>
      </c>
      <c r="M920" s="66" t="n">
        <f aca="false">DATE(YEAR(B920),MONTH(B920),1)</f>
        <v>45992</v>
      </c>
      <c r="N920" s="35" t="str">
        <f aca="false">IF(G920="","Unknown",G920)</f>
        <v>Bengaluru</v>
      </c>
      <c r="O920" s="35" t="str">
        <f aca="false">IF(E920="","Unknown",IF(E920&lt;=25,"18-25",IF(E920&lt;=35,"26-35",IF(E920&lt;=45,"36-45",IF(E920&lt;=55,"46-55","56-65")))))</f>
        <v>36-45</v>
      </c>
      <c r="P920" s="35" t="n">
        <f aca="false">COUNTIF($C$2:$C$1001,C920)</f>
        <v>2</v>
      </c>
      <c r="Q920" s="35" t="n">
        <f aca="false">IF(COUNTIF($C$2:C920,C920)=1,1,0)</f>
        <v>0</v>
      </c>
    </row>
    <row r="921" customFormat="false" ht="15" hidden="false" customHeight="false" outlineLevel="0" collapsed="false">
      <c r="A921" s="35" t="s">
        <v>2447</v>
      </c>
      <c r="B921" s="64" t="n">
        <v>45783</v>
      </c>
      <c r="C921" s="35" t="s">
        <v>2448</v>
      </c>
      <c r="D921" s="35" t="s">
        <v>1211</v>
      </c>
      <c r="E921" s="35" t="n">
        <v>30</v>
      </c>
      <c r="F921" s="35" t="s">
        <v>234</v>
      </c>
      <c r="G921" s="35" t="s">
        <v>221</v>
      </c>
      <c r="H921" s="35" t="s">
        <v>209</v>
      </c>
      <c r="I921" s="35" t="s">
        <v>200</v>
      </c>
      <c r="J921" s="35" t="n">
        <v>6</v>
      </c>
      <c r="K921" s="65" t="n">
        <v>10404.98</v>
      </c>
      <c r="L921" s="65" t="n">
        <v>62429.88</v>
      </c>
      <c r="M921" s="66" t="n">
        <f aca="false">DATE(YEAR(B921),MONTH(B921),1)</f>
        <v>45778</v>
      </c>
      <c r="N921" s="35" t="str">
        <f aca="false">IF(G921="","Unknown",G921)</f>
        <v>Delhi</v>
      </c>
      <c r="O921" s="35" t="str">
        <f aca="false">IF(E921="","Unknown",IF(E921&lt;=25,"18-25",IF(E921&lt;=35,"26-35",IF(E921&lt;=45,"36-45",IF(E921&lt;=55,"46-55","56-65")))))</f>
        <v>26-35</v>
      </c>
      <c r="P921" s="35" t="n">
        <f aca="false">COUNTIF($C$2:$C$1001,C921)</f>
        <v>1</v>
      </c>
      <c r="Q921" s="35" t="n">
        <f aca="false">IF(COUNTIF($C$2:C921,C921)=1,1,0)</f>
        <v>1</v>
      </c>
    </row>
    <row r="922" customFormat="false" ht="15" hidden="false" customHeight="false" outlineLevel="0" collapsed="false">
      <c r="A922" s="35" t="s">
        <v>2449</v>
      </c>
      <c r="B922" s="64" t="n">
        <v>45949</v>
      </c>
      <c r="C922" s="35" t="s">
        <v>2450</v>
      </c>
      <c r="D922" s="35" t="s">
        <v>2451</v>
      </c>
      <c r="E922" s="35" t="n">
        <v>59</v>
      </c>
      <c r="F922" s="35" t="s">
        <v>234</v>
      </c>
      <c r="G922" s="35" t="s">
        <v>220</v>
      </c>
      <c r="H922" s="35" t="s">
        <v>210</v>
      </c>
      <c r="I922" s="35" t="s">
        <v>201</v>
      </c>
      <c r="J922" s="35" t="n">
        <v>1</v>
      </c>
      <c r="K922" s="65" t="n">
        <v>21496.95</v>
      </c>
      <c r="L922" s="65" t="n">
        <v>21496.95</v>
      </c>
      <c r="M922" s="66" t="n">
        <f aca="false">DATE(YEAR(B922),MONTH(B922),1)</f>
        <v>45931</v>
      </c>
      <c r="N922" s="35" t="str">
        <f aca="false">IF(G922="","Unknown",G922)</f>
        <v>Hyderabad</v>
      </c>
      <c r="O922" s="35" t="str">
        <f aca="false">IF(E922="","Unknown",IF(E922&lt;=25,"18-25",IF(E922&lt;=35,"26-35",IF(E922&lt;=45,"36-45",IF(E922&lt;=55,"46-55","56-65")))))</f>
        <v>56-65</v>
      </c>
      <c r="P922" s="35" t="n">
        <f aca="false">COUNTIF($C$2:$C$1001,C922)</f>
        <v>1</v>
      </c>
      <c r="Q922" s="35" t="n">
        <f aca="false">IF(COUNTIF($C$2:C922,C922)=1,1,0)</f>
        <v>1</v>
      </c>
    </row>
    <row r="923" customFormat="false" ht="15" hidden="false" customHeight="false" outlineLevel="0" collapsed="false">
      <c r="A923" s="35" t="s">
        <v>2452</v>
      </c>
      <c r="B923" s="64" t="n">
        <v>45938</v>
      </c>
      <c r="C923" s="35" t="s">
        <v>2453</v>
      </c>
      <c r="D923" s="35" t="s">
        <v>1640</v>
      </c>
      <c r="E923" s="35" t="n">
        <v>33</v>
      </c>
      <c r="F923" s="35" t="s">
        <v>234</v>
      </c>
      <c r="G923" s="35" t="s">
        <v>223</v>
      </c>
      <c r="H923" s="35" t="s">
        <v>211</v>
      </c>
      <c r="I923" s="35" t="s">
        <v>202</v>
      </c>
      <c r="J923" s="35" t="n">
        <v>7</v>
      </c>
      <c r="K923" s="65" t="n">
        <v>42785.56</v>
      </c>
      <c r="L923" s="65" t="n">
        <v>299498.92</v>
      </c>
      <c r="M923" s="66" t="n">
        <f aca="false">DATE(YEAR(B923),MONTH(B923),1)</f>
        <v>45931</v>
      </c>
      <c r="N923" s="35" t="str">
        <f aca="false">IF(G923="","Unknown",G923)</f>
        <v>Gaya</v>
      </c>
      <c r="O923" s="35" t="str">
        <f aca="false">IF(E923="","Unknown",IF(E923&lt;=25,"18-25",IF(E923&lt;=35,"26-35",IF(E923&lt;=45,"36-45",IF(E923&lt;=55,"46-55","56-65")))))</f>
        <v>26-35</v>
      </c>
      <c r="P923" s="35" t="n">
        <f aca="false">COUNTIF($C$2:$C$1001,C923)</f>
        <v>1</v>
      </c>
      <c r="Q923" s="35" t="n">
        <f aca="false">IF(COUNTIF($C$2:C923,C923)=1,1,0)</f>
        <v>1</v>
      </c>
    </row>
    <row r="924" customFormat="false" ht="15" hidden="false" customHeight="false" outlineLevel="0" collapsed="false">
      <c r="A924" s="35" t="s">
        <v>2454</v>
      </c>
      <c r="B924" s="64" t="n">
        <v>45974</v>
      </c>
      <c r="C924" s="35" t="s">
        <v>2455</v>
      </c>
      <c r="D924" s="35" t="s">
        <v>1952</v>
      </c>
      <c r="E924" s="35" t="n">
        <v>50</v>
      </c>
      <c r="F924" s="35" t="s">
        <v>234</v>
      </c>
      <c r="G924" s="35" t="s">
        <v>218</v>
      </c>
      <c r="H924" s="35" t="s">
        <v>211</v>
      </c>
      <c r="I924" s="35" t="s">
        <v>202</v>
      </c>
      <c r="J924" s="35" t="n">
        <v>10</v>
      </c>
      <c r="K924" s="65" t="n">
        <v>9123.6</v>
      </c>
      <c r="L924" s="65" t="n">
        <v>91236</v>
      </c>
      <c r="M924" s="66" t="n">
        <f aca="false">DATE(YEAR(B924),MONTH(B924),1)</f>
        <v>45962</v>
      </c>
      <c r="N924" s="35" t="str">
        <f aca="false">IF(G924="","Unknown",G924)</f>
        <v>Bengaluru</v>
      </c>
      <c r="O924" s="35" t="str">
        <f aca="false">IF(E924="","Unknown",IF(E924&lt;=25,"18-25",IF(E924&lt;=35,"26-35",IF(E924&lt;=45,"36-45",IF(E924&lt;=55,"46-55","56-65")))))</f>
        <v>46-55</v>
      </c>
      <c r="P924" s="35" t="n">
        <f aca="false">COUNTIF($C$2:$C$1001,C924)</f>
        <v>1</v>
      </c>
      <c r="Q924" s="35" t="n">
        <f aca="false">IF(COUNTIF($C$2:C924,C924)=1,1,0)</f>
        <v>1</v>
      </c>
    </row>
    <row r="925" customFormat="false" ht="15" hidden="false" customHeight="false" outlineLevel="0" collapsed="false">
      <c r="A925" s="35" t="s">
        <v>2456</v>
      </c>
      <c r="B925" s="64" t="n">
        <v>45818</v>
      </c>
      <c r="C925" s="35" t="s">
        <v>2457</v>
      </c>
      <c r="D925" s="35" t="s">
        <v>2339</v>
      </c>
      <c r="E925" s="35" t="n">
        <v>62</v>
      </c>
      <c r="F925" s="35" t="s">
        <v>235</v>
      </c>
      <c r="G925" s="35" t="s">
        <v>221</v>
      </c>
      <c r="H925" s="35" t="s">
        <v>209</v>
      </c>
      <c r="I925" s="35" t="s">
        <v>200</v>
      </c>
      <c r="J925" s="35" t="n">
        <v>6</v>
      </c>
      <c r="K925" s="65" t="n">
        <v>35834.15</v>
      </c>
      <c r="L925" s="65" t="n">
        <v>215004.9</v>
      </c>
      <c r="M925" s="66" t="n">
        <f aca="false">DATE(YEAR(B925),MONTH(B925),1)</f>
        <v>45809</v>
      </c>
      <c r="N925" s="35" t="str">
        <f aca="false">IF(G925="","Unknown",G925)</f>
        <v>Delhi</v>
      </c>
      <c r="O925" s="35" t="str">
        <f aca="false">IF(E925="","Unknown",IF(E925&lt;=25,"18-25",IF(E925&lt;=35,"26-35",IF(E925&lt;=45,"36-45",IF(E925&lt;=55,"46-55","56-65")))))</f>
        <v>56-65</v>
      </c>
      <c r="P925" s="35" t="n">
        <f aca="false">COUNTIF($C$2:$C$1001,C925)</f>
        <v>1</v>
      </c>
      <c r="Q925" s="35" t="n">
        <f aca="false">IF(COUNTIF($C$2:C925,C925)=1,1,0)</f>
        <v>1</v>
      </c>
    </row>
    <row r="926" customFormat="false" ht="15" hidden="false" customHeight="false" outlineLevel="0" collapsed="false">
      <c r="A926" s="35" t="s">
        <v>2458</v>
      </c>
      <c r="B926" s="64" t="n">
        <v>46015</v>
      </c>
      <c r="C926" s="35" t="s">
        <v>2459</v>
      </c>
      <c r="D926" s="35" t="s">
        <v>361</v>
      </c>
      <c r="E926" s="35" t="n">
        <v>52</v>
      </c>
      <c r="F926" s="35" t="s">
        <v>235</v>
      </c>
      <c r="G926" s="35" t="s">
        <v>221</v>
      </c>
      <c r="H926" s="35" t="s">
        <v>210</v>
      </c>
      <c r="I926" s="35" t="s">
        <v>201</v>
      </c>
      <c r="J926" s="35" t="n">
        <v>3</v>
      </c>
      <c r="K926" s="65" t="n">
        <v>653.97</v>
      </c>
      <c r="L926" s="65" t="n">
        <v>1961.91</v>
      </c>
      <c r="M926" s="66" t="n">
        <f aca="false">DATE(YEAR(B926),MONTH(B926),1)</f>
        <v>45992</v>
      </c>
      <c r="N926" s="35" t="str">
        <f aca="false">IF(G926="","Unknown",G926)</f>
        <v>Delhi</v>
      </c>
      <c r="O926" s="35" t="str">
        <f aca="false">IF(E926="","Unknown",IF(E926&lt;=25,"18-25",IF(E926&lt;=35,"26-35",IF(E926&lt;=45,"36-45",IF(E926&lt;=55,"46-55","56-65")))))</f>
        <v>46-55</v>
      </c>
      <c r="P926" s="35" t="n">
        <f aca="false">COUNTIF($C$2:$C$1001,C926)</f>
        <v>1</v>
      </c>
      <c r="Q926" s="35" t="n">
        <f aca="false">IF(COUNTIF($C$2:C926,C926)=1,1,0)</f>
        <v>1</v>
      </c>
    </row>
    <row r="927" customFormat="false" ht="15" hidden="false" customHeight="false" outlineLevel="0" collapsed="false">
      <c r="A927" s="35" t="s">
        <v>2460</v>
      </c>
      <c r="B927" s="64" t="n">
        <v>45688</v>
      </c>
      <c r="C927" s="35" t="s">
        <v>2461</v>
      </c>
      <c r="D927" s="35" t="s">
        <v>1949</v>
      </c>
      <c r="E927" s="35" t="n">
        <v>54</v>
      </c>
      <c r="F927" s="35" t="s">
        <v>234</v>
      </c>
      <c r="G927" s="35" t="s">
        <v>217</v>
      </c>
      <c r="H927" s="35" t="s">
        <v>209</v>
      </c>
      <c r="I927" s="35" t="s">
        <v>200</v>
      </c>
      <c r="J927" s="35" t="n">
        <v>3</v>
      </c>
      <c r="K927" s="65" t="n">
        <v>3846.65</v>
      </c>
      <c r="L927" s="65" t="n">
        <v>11539.95</v>
      </c>
      <c r="M927" s="66" t="n">
        <f aca="false">DATE(YEAR(B927),MONTH(B927),1)</f>
        <v>45658</v>
      </c>
      <c r="N927" s="35" t="str">
        <f aca="false">IF(G927="","Unknown",G927)</f>
        <v>Kolkata</v>
      </c>
      <c r="O927" s="35" t="str">
        <f aca="false">IF(E927="","Unknown",IF(E927&lt;=25,"18-25",IF(E927&lt;=35,"26-35",IF(E927&lt;=45,"36-45",IF(E927&lt;=55,"46-55","56-65")))))</f>
        <v>46-55</v>
      </c>
      <c r="P927" s="35" t="n">
        <f aca="false">COUNTIF($C$2:$C$1001,C927)</f>
        <v>1</v>
      </c>
      <c r="Q927" s="35" t="n">
        <f aca="false">IF(COUNTIF($C$2:C927,C927)=1,1,0)</f>
        <v>1</v>
      </c>
    </row>
    <row r="928" customFormat="false" ht="15" hidden="false" customHeight="false" outlineLevel="0" collapsed="false">
      <c r="A928" s="35" t="s">
        <v>2462</v>
      </c>
      <c r="B928" s="64" t="n">
        <v>45872</v>
      </c>
      <c r="C928" s="35" t="s">
        <v>2463</v>
      </c>
      <c r="D928" s="35" t="s">
        <v>2464</v>
      </c>
      <c r="E928" s="35" t="n">
        <v>39</v>
      </c>
      <c r="F928" s="35" t="s">
        <v>235</v>
      </c>
      <c r="G928" s="35" t="s">
        <v>218</v>
      </c>
      <c r="H928" s="35" t="s">
        <v>211</v>
      </c>
      <c r="I928" s="35" t="s">
        <v>202</v>
      </c>
      <c r="J928" s="35" t="n">
        <v>10</v>
      </c>
      <c r="K928" s="65" t="n">
        <v>40522.56</v>
      </c>
      <c r="L928" s="65" t="n">
        <v>405225.6</v>
      </c>
      <c r="M928" s="66" t="n">
        <f aca="false">DATE(YEAR(B928),MONTH(B928),1)</f>
        <v>45870</v>
      </c>
      <c r="N928" s="35" t="str">
        <f aca="false">IF(G928="","Unknown",G928)</f>
        <v>Bengaluru</v>
      </c>
      <c r="O928" s="35" t="str">
        <f aca="false">IF(E928="","Unknown",IF(E928&lt;=25,"18-25",IF(E928&lt;=35,"26-35",IF(E928&lt;=45,"36-45",IF(E928&lt;=55,"46-55","56-65")))))</f>
        <v>36-45</v>
      </c>
      <c r="P928" s="35" t="n">
        <f aca="false">COUNTIF($C$2:$C$1001,C928)</f>
        <v>1</v>
      </c>
      <c r="Q928" s="35" t="n">
        <f aca="false">IF(COUNTIF($C$2:C928,C928)=1,1,0)</f>
        <v>1</v>
      </c>
    </row>
    <row r="929" customFormat="false" ht="15" hidden="false" customHeight="false" outlineLevel="0" collapsed="false">
      <c r="A929" s="35" t="s">
        <v>2465</v>
      </c>
      <c r="B929" s="64" t="n">
        <v>45898</v>
      </c>
      <c r="C929" s="35" t="s">
        <v>2466</v>
      </c>
      <c r="D929" s="35" t="s">
        <v>546</v>
      </c>
      <c r="E929" s="35" t="n">
        <v>57</v>
      </c>
      <c r="F929" s="35" t="s">
        <v>234</v>
      </c>
      <c r="G929" s="35" t="s">
        <v>219</v>
      </c>
      <c r="H929" s="35" t="s">
        <v>213</v>
      </c>
      <c r="I929" s="35" t="s">
        <v>204</v>
      </c>
      <c r="J929" s="35" t="n">
        <v>4</v>
      </c>
      <c r="K929" s="65" t="n">
        <v>39917.24</v>
      </c>
      <c r="L929" s="65" t="n">
        <v>159668.96</v>
      </c>
      <c r="M929" s="66" t="n">
        <f aca="false">DATE(YEAR(B929),MONTH(B929),1)</f>
        <v>45870</v>
      </c>
      <c r="N929" s="35" t="str">
        <f aca="false">IF(G929="","Unknown",G929)</f>
        <v>Mumbai</v>
      </c>
      <c r="O929" s="35" t="str">
        <f aca="false">IF(E929="","Unknown",IF(E929&lt;=25,"18-25",IF(E929&lt;=35,"26-35",IF(E929&lt;=45,"36-45",IF(E929&lt;=55,"46-55","56-65")))))</f>
        <v>56-65</v>
      </c>
      <c r="P929" s="35" t="n">
        <f aca="false">COUNTIF($C$2:$C$1001,C929)</f>
        <v>1</v>
      </c>
      <c r="Q929" s="35" t="n">
        <f aca="false">IF(COUNTIF($C$2:C929,C929)=1,1,0)</f>
        <v>1</v>
      </c>
    </row>
    <row r="930" customFormat="false" ht="15" hidden="false" customHeight="false" outlineLevel="0" collapsed="false">
      <c r="A930" s="35" t="s">
        <v>2467</v>
      </c>
      <c r="B930" s="64" t="n">
        <v>45998</v>
      </c>
      <c r="C930" s="35" t="s">
        <v>2468</v>
      </c>
      <c r="D930" s="35" t="s">
        <v>1126</v>
      </c>
      <c r="E930" s="35" t="n">
        <v>65</v>
      </c>
      <c r="F930" s="35" t="s">
        <v>235</v>
      </c>
      <c r="G930" s="35" t="s">
        <v>221</v>
      </c>
      <c r="H930" s="35" t="s">
        <v>211</v>
      </c>
      <c r="I930" s="35" t="s">
        <v>202</v>
      </c>
      <c r="J930" s="35" t="n">
        <v>1</v>
      </c>
      <c r="K930" s="65" t="n">
        <v>23886.69</v>
      </c>
      <c r="L930" s="65" t="n">
        <v>23886.69</v>
      </c>
      <c r="M930" s="66" t="n">
        <f aca="false">DATE(YEAR(B930),MONTH(B930),1)</f>
        <v>45992</v>
      </c>
      <c r="N930" s="35" t="str">
        <f aca="false">IF(G930="","Unknown",G930)</f>
        <v>Delhi</v>
      </c>
      <c r="O930" s="35" t="str">
        <f aca="false">IF(E930="","Unknown",IF(E930&lt;=25,"18-25",IF(E930&lt;=35,"26-35",IF(E930&lt;=45,"36-45",IF(E930&lt;=55,"46-55","56-65")))))</f>
        <v>56-65</v>
      </c>
      <c r="P930" s="35" t="n">
        <f aca="false">COUNTIF($C$2:$C$1001,C930)</f>
        <v>1</v>
      </c>
      <c r="Q930" s="35" t="n">
        <f aca="false">IF(COUNTIF($C$2:C930,C930)=1,1,0)</f>
        <v>1</v>
      </c>
    </row>
    <row r="931" customFormat="false" ht="15" hidden="false" customHeight="false" outlineLevel="0" collapsed="false">
      <c r="A931" s="35" t="s">
        <v>2469</v>
      </c>
      <c r="B931" s="64" t="n">
        <v>45675</v>
      </c>
      <c r="C931" s="35" t="s">
        <v>2470</v>
      </c>
      <c r="D931" s="35" t="s">
        <v>2471</v>
      </c>
      <c r="E931" s="35" t="n">
        <v>32</v>
      </c>
      <c r="F931" s="35" t="s">
        <v>235</v>
      </c>
      <c r="G931" s="35" t="s">
        <v>218</v>
      </c>
      <c r="H931" s="35" t="s">
        <v>213</v>
      </c>
      <c r="I931" s="35" t="s">
        <v>204</v>
      </c>
      <c r="J931" s="35" t="n">
        <v>1</v>
      </c>
      <c r="K931" s="65" t="n">
        <v>46629.03</v>
      </c>
      <c r="L931" s="65" t="n">
        <v>46629.03</v>
      </c>
      <c r="M931" s="66" t="n">
        <f aca="false">DATE(YEAR(B931),MONTH(B931),1)</f>
        <v>45658</v>
      </c>
      <c r="N931" s="35" t="str">
        <f aca="false">IF(G931="","Unknown",G931)</f>
        <v>Bengaluru</v>
      </c>
      <c r="O931" s="35" t="str">
        <f aca="false">IF(E931="","Unknown",IF(E931&lt;=25,"18-25",IF(E931&lt;=35,"26-35",IF(E931&lt;=45,"36-45",IF(E931&lt;=55,"46-55","56-65")))))</f>
        <v>26-35</v>
      </c>
      <c r="P931" s="35" t="n">
        <f aca="false">COUNTIF($C$2:$C$1001,C931)</f>
        <v>1</v>
      </c>
      <c r="Q931" s="35" t="n">
        <f aca="false">IF(COUNTIF($C$2:C931,C931)=1,1,0)</f>
        <v>1</v>
      </c>
    </row>
    <row r="932" customFormat="false" ht="15" hidden="false" customHeight="false" outlineLevel="0" collapsed="false">
      <c r="A932" s="35" t="s">
        <v>2472</v>
      </c>
      <c r="B932" s="64" t="n">
        <v>45873</v>
      </c>
      <c r="C932" s="35" t="s">
        <v>2473</v>
      </c>
      <c r="D932" s="35" t="s">
        <v>944</v>
      </c>
      <c r="E932" s="35" t="n">
        <v>50</v>
      </c>
      <c r="F932" s="35" t="s">
        <v>234</v>
      </c>
      <c r="G932" s="35" t="s">
        <v>219</v>
      </c>
      <c r="H932" s="35" t="s">
        <v>208</v>
      </c>
      <c r="I932" s="35" t="s">
        <v>200</v>
      </c>
      <c r="J932" s="35" t="n">
        <v>4</v>
      </c>
      <c r="K932" s="65" t="n">
        <v>27478.45</v>
      </c>
      <c r="L932" s="65" t="n">
        <v>109913.8</v>
      </c>
      <c r="M932" s="66" t="n">
        <f aca="false">DATE(YEAR(B932),MONTH(B932),1)</f>
        <v>45870</v>
      </c>
      <c r="N932" s="35" t="str">
        <f aca="false">IF(G932="","Unknown",G932)</f>
        <v>Mumbai</v>
      </c>
      <c r="O932" s="35" t="str">
        <f aca="false">IF(E932="","Unknown",IF(E932&lt;=25,"18-25",IF(E932&lt;=35,"26-35",IF(E932&lt;=45,"36-45",IF(E932&lt;=55,"46-55","56-65")))))</f>
        <v>46-55</v>
      </c>
      <c r="P932" s="35" t="n">
        <f aca="false">COUNTIF($C$2:$C$1001,C932)</f>
        <v>1</v>
      </c>
      <c r="Q932" s="35" t="n">
        <f aca="false">IF(COUNTIF($C$2:C932,C932)=1,1,0)</f>
        <v>1</v>
      </c>
    </row>
    <row r="933" customFormat="false" ht="15" hidden="false" customHeight="false" outlineLevel="0" collapsed="false">
      <c r="A933" s="35" t="s">
        <v>2474</v>
      </c>
      <c r="B933" s="64" t="n">
        <v>45678</v>
      </c>
      <c r="C933" s="35" t="s">
        <v>2475</v>
      </c>
      <c r="D933" s="35" t="s">
        <v>275</v>
      </c>
      <c r="E933" s="35" t="n">
        <v>50</v>
      </c>
      <c r="F933" s="35" t="s">
        <v>235</v>
      </c>
      <c r="G933" s="35" t="s">
        <v>220</v>
      </c>
      <c r="H933" s="35" t="s">
        <v>208</v>
      </c>
      <c r="I933" s="35" t="s">
        <v>200</v>
      </c>
      <c r="J933" s="35" t="n">
        <v>8</v>
      </c>
      <c r="K933" s="65" t="n">
        <v>4925.05</v>
      </c>
      <c r="L933" s="65" t="n">
        <v>39400.4</v>
      </c>
      <c r="M933" s="66" t="n">
        <f aca="false">DATE(YEAR(B933),MONTH(B933),1)</f>
        <v>45658</v>
      </c>
      <c r="N933" s="35" t="str">
        <f aca="false">IF(G933="","Unknown",G933)</f>
        <v>Hyderabad</v>
      </c>
      <c r="O933" s="35" t="str">
        <f aca="false">IF(E933="","Unknown",IF(E933&lt;=25,"18-25",IF(E933&lt;=35,"26-35",IF(E933&lt;=45,"36-45",IF(E933&lt;=55,"46-55","56-65")))))</f>
        <v>46-55</v>
      </c>
      <c r="P933" s="35" t="n">
        <f aca="false">COUNTIF($C$2:$C$1001,C933)</f>
        <v>1</v>
      </c>
      <c r="Q933" s="35" t="n">
        <f aca="false">IF(COUNTIF($C$2:C933,C933)=1,1,0)</f>
        <v>1</v>
      </c>
    </row>
    <row r="934" customFormat="false" ht="15" hidden="false" customHeight="false" outlineLevel="0" collapsed="false">
      <c r="A934" s="35" t="s">
        <v>2476</v>
      </c>
      <c r="B934" s="64" t="n">
        <v>45749</v>
      </c>
      <c r="C934" s="35" t="s">
        <v>1023</v>
      </c>
      <c r="D934" s="35" t="s">
        <v>651</v>
      </c>
      <c r="E934" s="35" t="n">
        <v>63</v>
      </c>
      <c r="F934" s="35" t="s">
        <v>234</v>
      </c>
      <c r="G934" s="35" t="s">
        <v>217</v>
      </c>
      <c r="H934" s="35" t="s">
        <v>213</v>
      </c>
      <c r="I934" s="35" t="s">
        <v>204</v>
      </c>
      <c r="J934" s="35" t="n">
        <v>8</v>
      </c>
      <c r="K934" s="65" t="n">
        <v>35023.64</v>
      </c>
      <c r="L934" s="65" t="n">
        <v>280189.12</v>
      </c>
      <c r="M934" s="66" t="n">
        <f aca="false">DATE(YEAR(B934),MONTH(B934),1)</f>
        <v>45748</v>
      </c>
      <c r="N934" s="35" t="str">
        <f aca="false">IF(G934="","Unknown",G934)</f>
        <v>Kolkata</v>
      </c>
      <c r="O934" s="35" t="str">
        <f aca="false">IF(E934="","Unknown",IF(E934&lt;=25,"18-25",IF(E934&lt;=35,"26-35",IF(E934&lt;=45,"36-45",IF(E934&lt;=55,"46-55","56-65")))))</f>
        <v>56-65</v>
      </c>
      <c r="P934" s="35" t="n">
        <f aca="false">COUNTIF($C$2:$C$1001,C934)</f>
        <v>2</v>
      </c>
      <c r="Q934" s="35" t="n">
        <f aca="false">IF(COUNTIF($C$2:C934,C934)=1,1,0)</f>
        <v>0</v>
      </c>
    </row>
    <row r="935" customFormat="false" ht="15" hidden="false" customHeight="false" outlineLevel="0" collapsed="false">
      <c r="A935" s="35" t="s">
        <v>2477</v>
      </c>
      <c r="B935" s="64" t="n">
        <v>45962</v>
      </c>
      <c r="C935" s="35" t="s">
        <v>2478</v>
      </c>
      <c r="D935" s="35" t="s">
        <v>2479</v>
      </c>
      <c r="E935" s="35" t="n">
        <v>37</v>
      </c>
      <c r="F935" s="35" t="s">
        <v>235</v>
      </c>
      <c r="G935" s="35" t="s">
        <v>221</v>
      </c>
      <c r="H935" s="35" t="s">
        <v>212</v>
      </c>
      <c r="I935" s="35" t="s">
        <v>203</v>
      </c>
      <c r="J935" s="35" t="n">
        <v>2</v>
      </c>
      <c r="K935" s="65" t="n">
        <v>49387.2</v>
      </c>
      <c r="L935" s="65" t="n">
        <v>98774.4</v>
      </c>
      <c r="M935" s="66" t="n">
        <f aca="false">DATE(YEAR(B935),MONTH(B935),1)</f>
        <v>45962</v>
      </c>
      <c r="N935" s="35" t="str">
        <f aca="false">IF(G935="","Unknown",G935)</f>
        <v>Delhi</v>
      </c>
      <c r="O935" s="35" t="str">
        <f aca="false">IF(E935="","Unknown",IF(E935&lt;=25,"18-25",IF(E935&lt;=35,"26-35",IF(E935&lt;=45,"36-45",IF(E935&lt;=55,"46-55","56-65")))))</f>
        <v>36-45</v>
      </c>
      <c r="P935" s="35" t="n">
        <f aca="false">COUNTIF($C$2:$C$1001,C935)</f>
        <v>1</v>
      </c>
      <c r="Q935" s="35" t="n">
        <f aca="false">IF(COUNTIF($C$2:C935,C935)=1,1,0)</f>
        <v>1</v>
      </c>
    </row>
    <row r="936" customFormat="false" ht="15" hidden="false" customHeight="false" outlineLevel="0" collapsed="false">
      <c r="A936" s="35" t="s">
        <v>2480</v>
      </c>
      <c r="B936" s="64" t="n">
        <v>45971</v>
      </c>
      <c r="C936" s="35" t="s">
        <v>2481</v>
      </c>
      <c r="D936" s="35" t="s">
        <v>2482</v>
      </c>
      <c r="E936" s="35" t="n">
        <v>65</v>
      </c>
      <c r="F936" s="35" t="s">
        <v>235</v>
      </c>
      <c r="G936" s="35" t="s">
        <v>217</v>
      </c>
      <c r="H936" s="35" t="s">
        <v>211</v>
      </c>
      <c r="I936" s="35" t="s">
        <v>202</v>
      </c>
      <c r="J936" s="35" t="n">
        <v>4</v>
      </c>
      <c r="K936" s="65" t="n">
        <v>30607.95</v>
      </c>
      <c r="L936" s="65" t="n">
        <v>122431.8</v>
      </c>
      <c r="M936" s="66" t="n">
        <f aca="false">DATE(YEAR(B936),MONTH(B936),1)</f>
        <v>45962</v>
      </c>
      <c r="N936" s="35" t="str">
        <f aca="false">IF(G936="","Unknown",G936)</f>
        <v>Kolkata</v>
      </c>
      <c r="O936" s="35" t="str">
        <f aca="false">IF(E936="","Unknown",IF(E936&lt;=25,"18-25",IF(E936&lt;=35,"26-35",IF(E936&lt;=45,"36-45",IF(E936&lt;=55,"46-55","56-65")))))</f>
        <v>56-65</v>
      </c>
      <c r="P936" s="35" t="n">
        <f aca="false">COUNTIF($C$2:$C$1001,C936)</f>
        <v>1</v>
      </c>
      <c r="Q936" s="35" t="n">
        <f aca="false">IF(COUNTIF($C$2:C936,C936)=1,1,0)</f>
        <v>1</v>
      </c>
    </row>
    <row r="937" customFormat="false" ht="15" hidden="false" customHeight="false" outlineLevel="0" collapsed="false">
      <c r="A937" s="35" t="s">
        <v>2483</v>
      </c>
      <c r="B937" s="64" t="n">
        <v>45952</v>
      </c>
      <c r="C937" s="35" t="s">
        <v>2443</v>
      </c>
      <c r="D937" s="35" t="s">
        <v>2484</v>
      </c>
      <c r="E937" s="35" t="n">
        <v>40</v>
      </c>
      <c r="F937" s="35" t="s">
        <v>234</v>
      </c>
      <c r="G937" s="35" t="s">
        <v>216</v>
      </c>
      <c r="H937" s="35" t="s">
        <v>212</v>
      </c>
      <c r="I937" s="35" t="s">
        <v>203</v>
      </c>
      <c r="J937" s="35" t="n">
        <v>10</v>
      </c>
      <c r="K937" s="65" t="n">
        <v>7627.77</v>
      </c>
      <c r="L937" s="65" t="n">
        <v>76277.7</v>
      </c>
      <c r="M937" s="66" t="n">
        <f aca="false">DATE(YEAR(B937),MONTH(B937),1)</f>
        <v>45931</v>
      </c>
      <c r="N937" s="35" t="str">
        <f aca="false">IF(G937="","Unknown",G937)</f>
        <v>Patna</v>
      </c>
      <c r="O937" s="35" t="str">
        <f aca="false">IF(E937="","Unknown",IF(E937&lt;=25,"18-25",IF(E937&lt;=35,"26-35",IF(E937&lt;=45,"36-45",IF(E937&lt;=55,"46-55","56-65")))))</f>
        <v>36-45</v>
      </c>
      <c r="P937" s="35" t="n">
        <f aca="false">COUNTIF($C$2:$C$1001,C937)</f>
        <v>2</v>
      </c>
      <c r="Q937" s="35" t="n">
        <f aca="false">IF(COUNTIF($C$2:C937,C937)=1,1,0)</f>
        <v>0</v>
      </c>
    </row>
    <row r="938" customFormat="false" ht="15" hidden="false" customHeight="false" outlineLevel="0" collapsed="false">
      <c r="A938" s="35" t="s">
        <v>2485</v>
      </c>
      <c r="B938" s="64" t="n">
        <v>45928</v>
      </c>
      <c r="C938" s="35" t="s">
        <v>2319</v>
      </c>
      <c r="D938" s="35" t="s">
        <v>560</v>
      </c>
      <c r="E938" s="35" t="n">
        <v>30</v>
      </c>
      <c r="F938" s="35" t="s">
        <v>234</v>
      </c>
      <c r="G938" s="35" t="s">
        <v>222</v>
      </c>
      <c r="H938" s="35" t="s">
        <v>213</v>
      </c>
      <c r="I938" s="35" t="s">
        <v>204</v>
      </c>
      <c r="J938" s="35" t="n">
        <v>3</v>
      </c>
      <c r="K938" s="65" t="n">
        <v>44146.06</v>
      </c>
      <c r="L938" s="65" t="n">
        <v>132438.18</v>
      </c>
      <c r="M938" s="66" t="n">
        <f aca="false">DATE(YEAR(B938),MONTH(B938),1)</f>
        <v>45901</v>
      </c>
      <c r="N938" s="35" t="str">
        <f aca="false">IF(G938="","Unknown",G938)</f>
        <v>Pune</v>
      </c>
      <c r="O938" s="35" t="str">
        <f aca="false">IF(E938="","Unknown",IF(E938&lt;=25,"18-25",IF(E938&lt;=35,"26-35",IF(E938&lt;=45,"36-45",IF(E938&lt;=55,"46-55","56-65")))))</f>
        <v>26-35</v>
      </c>
      <c r="P938" s="35" t="n">
        <f aca="false">COUNTIF($C$2:$C$1001,C938)</f>
        <v>2</v>
      </c>
      <c r="Q938" s="35" t="n">
        <f aca="false">IF(COUNTIF($C$2:C938,C938)=1,1,0)</f>
        <v>0</v>
      </c>
    </row>
    <row r="939" customFormat="false" ht="15" hidden="false" customHeight="false" outlineLevel="0" collapsed="false">
      <c r="A939" s="35" t="s">
        <v>2486</v>
      </c>
      <c r="B939" s="64" t="n">
        <v>46004</v>
      </c>
      <c r="C939" s="35" t="s">
        <v>2487</v>
      </c>
      <c r="D939" s="35" t="s">
        <v>415</v>
      </c>
      <c r="E939" s="35" t="n">
        <v>62</v>
      </c>
      <c r="F939" s="35" t="s">
        <v>234</v>
      </c>
      <c r="G939" s="35" t="s">
        <v>218</v>
      </c>
      <c r="H939" s="35" t="s">
        <v>208</v>
      </c>
      <c r="I939" s="35" t="s">
        <v>200</v>
      </c>
      <c r="J939" s="35" t="n">
        <v>7</v>
      </c>
      <c r="K939" s="65" t="n">
        <v>31015.64</v>
      </c>
      <c r="L939" s="65" t="n">
        <v>217109.48</v>
      </c>
      <c r="M939" s="66" t="n">
        <f aca="false">DATE(YEAR(B939),MONTH(B939),1)</f>
        <v>45992</v>
      </c>
      <c r="N939" s="35" t="str">
        <f aca="false">IF(G939="","Unknown",G939)</f>
        <v>Bengaluru</v>
      </c>
      <c r="O939" s="35" t="str">
        <f aca="false">IF(E939="","Unknown",IF(E939&lt;=25,"18-25",IF(E939&lt;=35,"26-35",IF(E939&lt;=45,"36-45",IF(E939&lt;=55,"46-55","56-65")))))</f>
        <v>56-65</v>
      </c>
      <c r="P939" s="35" t="n">
        <f aca="false">COUNTIF($C$2:$C$1001,C939)</f>
        <v>1</v>
      </c>
      <c r="Q939" s="35" t="n">
        <f aca="false">IF(COUNTIF($C$2:C939,C939)=1,1,0)</f>
        <v>1</v>
      </c>
    </row>
    <row r="940" customFormat="false" ht="15" hidden="false" customHeight="false" outlineLevel="0" collapsed="false">
      <c r="A940" s="35" t="s">
        <v>2488</v>
      </c>
      <c r="B940" s="64" t="n">
        <v>45891</v>
      </c>
      <c r="C940" s="35" t="s">
        <v>2489</v>
      </c>
      <c r="D940" s="35" t="s">
        <v>784</v>
      </c>
      <c r="E940" s="35" t="n">
        <v>43</v>
      </c>
      <c r="F940" s="35" t="s">
        <v>234</v>
      </c>
      <c r="G940" s="35" t="s">
        <v>220</v>
      </c>
      <c r="H940" s="35" t="s">
        <v>208</v>
      </c>
      <c r="I940" s="35" t="s">
        <v>200</v>
      </c>
      <c r="J940" s="35" t="n">
        <v>1</v>
      </c>
      <c r="K940" s="65" t="n">
        <v>47743.08</v>
      </c>
      <c r="L940" s="65" t="n">
        <v>47743.08</v>
      </c>
      <c r="M940" s="66" t="n">
        <f aca="false">DATE(YEAR(B940),MONTH(B940),1)</f>
        <v>45870</v>
      </c>
      <c r="N940" s="35" t="str">
        <f aca="false">IF(G940="","Unknown",G940)</f>
        <v>Hyderabad</v>
      </c>
      <c r="O940" s="35" t="str">
        <f aca="false">IF(E940="","Unknown",IF(E940&lt;=25,"18-25",IF(E940&lt;=35,"26-35",IF(E940&lt;=45,"36-45",IF(E940&lt;=55,"46-55","56-65")))))</f>
        <v>36-45</v>
      </c>
      <c r="P940" s="35" t="n">
        <f aca="false">COUNTIF($C$2:$C$1001,C940)</f>
        <v>1</v>
      </c>
      <c r="Q940" s="35" t="n">
        <f aca="false">IF(COUNTIF($C$2:C940,C940)=1,1,0)</f>
        <v>1</v>
      </c>
    </row>
    <row r="941" customFormat="false" ht="15" hidden="false" customHeight="false" outlineLevel="0" collapsed="false">
      <c r="A941" s="35" t="s">
        <v>2490</v>
      </c>
      <c r="B941" s="64" t="n">
        <v>45819</v>
      </c>
      <c r="C941" s="35" t="s">
        <v>2491</v>
      </c>
      <c r="D941" s="35" t="s">
        <v>477</v>
      </c>
      <c r="E941" s="35" t="n">
        <v>35</v>
      </c>
      <c r="F941" s="35" t="s">
        <v>234</v>
      </c>
      <c r="G941" s="35" t="s">
        <v>223</v>
      </c>
      <c r="H941" s="35" t="s">
        <v>208</v>
      </c>
      <c r="I941" s="35" t="s">
        <v>200</v>
      </c>
      <c r="J941" s="35" t="n">
        <v>10</v>
      </c>
      <c r="K941" s="65" t="n">
        <v>12754.35</v>
      </c>
      <c r="L941" s="65" t="n">
        <v>127543.5</v>
      </c>
      <c r="M941" s="66" t="n">
        <f aca="false">DATE(YEAR(B941),MONTH(B941),1)</f>
        <v>45809</v>
      </c>
      <c r="N941" s="35" t="str">
        <f aca="false">IF(G941="","Unknown",G941)</f>
        <v>Gaya</v>
      </c>
      <c r="O941" s="35" t="str">
        <f aca="false">IF(E941="","Unknown",IF(E941&lt;=25,"18-25",IF(E941&lt;=35,"26-35",IF(E941&lt;=45,"36-45",IF(E941&lt;=55,"46-55","56-65")))))</f>
        <v>26-35</v>
      </c>
      <c r="P941" s="35" t="n">
        <f aca="false">COUNTIF($C$2:$C$1001,C941)</f>
        <v>1</v>
      </c>
      <c r="Q941" s="35" t="n">
        <f aca="false">IF(COUNTIF($C$2:C941,C941)=1,1,0)</f>
        <v>1</v>
      </c>
    </row>
    <row r="942" customFormat="false" ht="15" hidden="false" customHeight="false" outlineLevel="0" collapsed="false">
      <c r="A942" s="35" t="s">
        <v>2492</v>
      </c>
      <c r="B942" s="64" t="n">
        <v>45749</v>
      </c>
      <c r="C942" s="35" t="s">
        <v>2493</v>
      </c>
      <c r="D942" s="35" t="s">
        <v>1018</v>
      </c>
      <c r="E942" s="35" t="n">
        <v>53</v>
      </c>
      <c r="F942" s="35" t="s">
        <v>234</v>
      </c>
      <c r="G942" s="35" t="s">
        <v>220</v>
      </c>
      <c r="H942" s="35" t="s">
        <v>208</v>
      </c>
      <c r="I942" s="35" t="s">
        <v>200</v>
      </c>
      <c r="J942" s="35" t="n">
        <v>7</v>
      </c>
      <c r="K942" s="65" t="n">
        <v>45883.95</v>
      </c>
      <c r="L942" s="65" t="n">
        <v>321187.65</v>
      </c>
      <c r="M942" s="66" t="n">
        <f aca="false">DATE(YEAR(B942),MONTH(B942),1)</f>
        <v>45748</v>
      </c>
      <c r="N942" s="35" t="str">
        <f aca="false">IF(G942="","Unknown",G942)</f>
        <v>Hyderabad</v>
      </c>
      <c r="O942" s="35" t="str">
        <f aca="false">IF(E942="","Unknown",IF(E942&lt;=25,"18-25",IF(E942&lt;=35,"26-35",IF(E942&lt;=45,"36-45",IF(E942&lt;=55,"46-55","56-65")))))</f>
        <v>46-55</v>
      </c>
      <c r="P942" s="35" t="n">
        <f aca="false">COUNTIF($C$2:$C$1001,C942)</f>
        <v>1</v>
      </c>
      <c r="Q942" s="35" t="n">
        <f aca="false">IF(COUNTIF($C$2:C942,C942)=1,1,0)</f>
        <v>1</v>
      </c>
    </row>
    <row r="943" customFormat="false" ht="15" hidden="false" customHeight="false" outlineLevel="0" collapsed="false">
      <c r="A943" s="35" t="s">
        <v>2494</v>
      </c>
      <c r="B943" s="64" t="n">
        <v>45865</v>
      </c>
      <c r="C943" s="35" t="s">
        <v>2495</v>
      </c>
      <c r="D943" s="35" t="s">
        <v>1874</v>
      </c>
      <c r="E943" s="35" t="n">
        <v>64</v>
      </c>
      <c r="F943" s="35" t="s">
        <v>234</v>
      </c>
      <c r="G943" s="35" t="s">
        <v>222</v>
      </c>
      <c r="H943" s="35" t="s">
        <v>208</v>
      </c>
      <c r="I943" s="35" t="s">
        <v>200</v>
      </c>
      <c r="J943" s="35" t="n">
        <v>5</v>
      </c>
      <c r="K943" s="65" t="n">
        <v>16990.85</v>
      </c>
      <c r="L943" s="65" t="n">
        <v>84954.25</v>
      </c>
      <c r="M943" s="66" t="n">
        <f aca="false">DATE(YEAR(B943),MONTH(B943),1)</f>
        <v>45839</v>
      </c>
      <c r="N943" s="35" t="str">
        <f aca="false">IF(G943="","Unknown",G943)</f>
        <v>Pune</v>
      </c>
      <c r="O943" s="35" t="str">
        <f aca="false">IF(E943="","Unknown",IF(E943&lt;=25,"18-25",IF(E943&lt;=35,"26-35",IF(E943&lt;=45,"36-45",IF(E943&lt;=55,"46-55","56-65")))))</f>
        <v>56-65</v>
      </c>
      <c r="P943" s="35" t="n">
        <f aca="false">COUNTIF($C$2:$C$1001,C943)</f>
        <v>1</v>
      </c>
      <c r="Q943" s="35" t="n">
        <f aca="false">IF(COUNTIF($C$2:C943,C943)=1,1,0)</f>
        <v>1</v>
      </c>
    </row>
    <row r="944" customFormat="false" ht="15" hidden="false" customHeight="false" outlineLevel="0" collapsed="false">
      <c r="A944" s="35" t="s">
        <v>2496</v>
      </c>
      <c r="B944" s="64" t="n">
        <v>45851</v>
      </c>
      <c r="C944" s="35" t="s">
        <v>2497</v>
      </c>
      <c r="D944" s="35" t="s">
        <v>1270</v>
      </c>
      <c r="E944" s="35" t="n">
        <v>20</v>
      </c>
      <c r="F944" s="35" t="s">
        <v>234</v>
      </c>
      <c r="G944" s="35" t="s">
        <v>219</v>
      </c>
      <c r="H944" s="35" t="s">
        <v>212</v>
      </c>
      <c r="I944" s="35" t="s">
        <v>203</v>
      </c>
      <c r="J944" s="35" t="n">
        <v>2</v>
      </c>
      <c r="K944" s="65" t="n">
        <v>20191.53</v>
      </c>
      <c r="L944" s="65" t="n">
        <v>40383.06</v>
      </c>
      <c r="M944" s="66" t="n">
        <f aca="false">DATE(YEAR(B944),MONTH(B944),1)</f>
        <v>45839</v>
      </c>
      <c r="N944" s="35" t="str">
        <f aca="false">IF(G944="","Unknown",G944)</f>
        <v>Mumbai</v>
      </c>
      <c r="O944" s="35" t="str">
        <f aca="false">IF(E944="","Unknown",IF(E944&lt;=25,"18-25",IF(E944&lt;=35,"26-35",IF(E944&lt;=45,"36-45",IF(E944&lt;=55,"46-55","56-65")))))</f>
        <v>18-25</v>
      </c>
      <c r="P944" s="35" t="n">
        <f aca="false">COUNTIF($C$2:$C$1001,C944)</f>
        <v>1</v>
      </c>
      <c r="Q944" s="35" t="n">
        <f aca="false">IF(COUNTIF($C$2:C944,C944)=1,1,0)</f>
        <v>1</v>
      </c>
    </row>
    <row r="945" customFormat="false" ht="15" hidden="false" customHeight="false" outlineLevel="0" collapsed="false">
      <c r="A945" s="35" t="s">
        <v>2498</v>
      </c>
      <c r="B945" s="64" t="n">
        <v>45881</v>
      </c>
      <c r="C945" s="35" t="s">
        <v>2499</v>
      </c>
      <c r="D945" s="35" t="s">
        <v>1647</v>
      </c>
      <c r="E945" s="35" t="n">
        <v>26</v>
      </c>
      <c r="F945" s="35" t="s">
        <v>234</v>
      </c>
      <c r="G945" s="35" t="s">
        <v>221</v>
      </c>
      <c r="H945" s="35" t="s">
        <v>209</v>
      </c>
      <c r="I945" s="35" t="s">
        <v>200</v>
      </c>
      <c r="J945" s="35" t="n">
        <v>8</v>
      </c>
      <c r="K945" s="65" t="n">
        <v>46866.95</v>
      </c>
      <c r="L945" s="65" t="n">
        <v>374935.6</v>
      </c>
      <c r="M945" s="66" t="n">
        <f aca="false">DATE(YEAR(B945),MONTH(B945),1)</f>
        <v>45870</v>
      </c>
      <c r="N945" s="35" t="str">
        <f aca="false">IF(G945="","Unknown",G945)</f>
        <v>Delhi</v>
      </c>
      <c r="O945" s="35" t="str">
        <f aca="false">IF(E945="","Unknown",IF(E945&lt;=25,"18-25",IF(E945&lt;=35,"26-35",IF(E945&lt;=45,"36-45",IF(E945&lt;=55,"46-55","56-65")))))</f>
        <v>26-35</v>
      </c>
      <c r="P945" s="35" t="n">
        <f aca="false">COUNTIF($C$2:$C$1001,C945)</f>
        <v>1</v>
      </c>
      <c r="Q945" s="35" t="n">
        <f aca="false">IF(COUNTIF($C$2:C945,C945)=1,1,0)</f>
        <v>1</v>
      </c>
    </row>
    <row r="946" customFormat="false" ht="15" hidden="false" customHeight="false" outlineLevel="0" collapsed="false">
      <c r="A946" s="35" t="s">
        <v>2500</v>
      </c>
      <c r="B946" s="64" t="n">
        <v>45836</v>
      </c>
      <c r="C946" s="35" t="s">
        <v>2501</v>
      </c>
      <c r="D946" s="35" t="s">
        <v>2502</v>
      </c>
      <c r="E946" s="35" t="n">
        <v>62</v>
      </c>
      <c r="F946" s="35" t="s">
        <v>235</v>
      </c>
      <c r="G946" s="35" t="s">
        <v>220</v>
      </c>
      <c r="H946" s="35" t="s">
        <v>209</v>
      </c>
      <c r="I946" s="35" t="s">
        <v>200</v>
      </c>
      <c r="J946" s="35" t="n">
        <v>8</v>
      </c>
      <c r="K946" s="65" t="n">
        <v>20319.29</v>
      </c>
      <c r="L946" s="65" t="n">
        <v>162554.32</v>
      </c>
      <c r="M946" s="66" t="n">
        <f aca="false">DATE(YEAR(B946),MONTH(B946),1)</f>
        <v>45809</v>
      </c>
      <c r="N946" s="35" t="str">
        <f aca="false">IF(G946="","Unknown",G946)</f>
        <v>Hyderabad</v>
      </c>
      <c r="O946" s="35" t="str">
        <f aca="false">IF(E946="","Unknown",IF(E946&lt;=25,"18-25",IF(E946&lt;=35,"26-35",IF(E946&lt;=45,"36-45",IF(E946&lt;=55,"46-55","56-65")))))</f>
        <v>56-65</v>
      </c>
      <c r="P946" s="35" t="n">
        <f aca="false">COUNTIF($C$2:$C$1001,C946)</f>
        <v>1</v>
      </c>
      <c r="Q946" s="35" t="n">
        <f aca="false">IF(COUNTIF($C$2:C946,C946)=1,1,0)</f>
        <v>1</v>
      </c>
    </row>
    <row r="947" customFormat="false" ht="15" hidden="false" customHeight="false" outlineLevel="0" collapsed="false">
      <c r="A947" s="35" t="s">
        <v>2503</v>
      </c>
      <c r="B947" s="64" t="n">
        <v>45873</v>
      </c>
      <c r="C947" s="35" t="s">
        <v>2504</v>
      </c>
      <c r="D947" s="35" t="s">
        <v>1298</v>
      </c>
      <c r="E947" s="35" t="n">
        <v>61</v>
      </c>
      <c r="F947" s="35" t="s">
        <v>234</v>
      </c>
      <c r="G947" s="35" t="s">
        <v>220</v>
      </c>
      <c r="H947" s="35" t="s">
        <v>210</v>
      </c>
      <c r="I947" s="35" t="s">
        <v>201</v>
      </c>
      <c r="J947" s="35" t="n">
        <v>6</v>
      </c>
      <c r="K947" s="65" t="n">
        <v>31857.18</v>
      </c>
      <c r="L947" s="65" t="n">
        <v>191143.08</v>
      </c>
      <c r="M947" s="66" t="n">
        <f aca="false">DATE(YEAR(B947),MONTH(B947),1)</f>
        <v>45870</v>
      </c>
      <c r="N947" s="35" t="str">
        <f aca="false">IF(G947="","Unknown",G947)</f>
        <v>Hyderabad</v>
      </c>
      <c r="O947" s="35" t="str">
        <f aca="false">IF(E947="","Unknown",IF(E947&lt;=25,"18-25",IF(E947&lt;=35,"26-35",IF(E947&lt;=45,"36-45",IF(E947&lt;=55,"46-55","56-65")))))</f>
        <v>56-65</v>
      </c>
      <c r="P947" s="35" t="n">
        <f aca="false">COUNTIF($C$2:$C$1001,C947)</f>
        <v>1</v>
      </c>
      <c r="Q947" s="35" t="n">
        <f aca="false">IF(COUNTIF($C$2:C947,C947)=1,1,0)</f>
        <v>1</v>
      </c>
    </row>
    <row r="948" customFormat="false" ht="15" hidden="false" customHeight="false" outlineLevel="0" collapsed="false">
      <c r="A948" s="35" t="s">
        <v>2505</v>
      </c>
      <c r="B948" s="64" t="n">
        <v>45712</v>
      </c>
      <c r="C948" s="35" t="s">
        <v>2506</v>
      </c>
      <c r="D948" s="35" t="s">
        <v>1832</v>
      </c>
      <c r="E948" s="35" t="n">
        <v>64</v>
      </c>
      <c r="F948" s="35" t="s">
        <v>235</v>
      </c>
      <c r="G948" s="35" t="s">
        <v>218</v>
      </c>
      <c r="H948" s="35" t="s">
        <v>209</v>
      </c>
      <c r="I948" s="35" t="s">
        <v>200</v>
      </c>
      <c r="J948" s="35" t="n">
        <v>2</v>
      </c>
      <c r="K948" s="65" t="n">
        <v>4160.77</v>
      </c>
      <c r="L948" s="65" t="n">
        <v>8321.54</v>
      </c>
      <c r="M948" s="66" t="n">
        <f aca="false">DATE(YEAR(B948),MONTH(B948),1)</f>
        <v>45689</v>
      </c>
      <c r="N948" s="35" t="str">
        <f aca="false">IF(G948="","Unknown",G948)</f>
        <v>Bengaluru</v>
      </c>
      <c r="O948" s="35" t="str">
        <f aca="false">IF(E948="","Unknown",IF(E948&lt;=25,"18-25",IF(E948&lt;=35,"26-35",IF(E948&lt;=45,"36-45",IF(E948&lt;=55,"46-55","56-65")))))</f>
        <v>56-65</v>
      </c>
      <c r="P948" s="35" t="n">
        <f aca="false">COUNTIF($C$2:$C$1001,C948)</f>
        <v>1</v>
      </c>
      <c r="Q948" s="35" t="n">
        <f aca="false">IF(COUNTIF($C$2:C948,C948)=1,1,0)</f>
        <v>1</v>
      </c>
    </row>
    <row r="949" customFormat="false" ht="15" hidden="false" customHeight="false" outlineLevel="0" collapsed="false">
      <c r="A949" s="35" t="s">
        <v>2507</v>
      </c>
      <c r="B949" s="64" t="n">
        <v>45794</v>
      </c>
      <c r="C949" s="35" t="s">
        <v>2508</v>
      </c>
      <c r="D949" s="35" t="s">
        <v>2509</v>
      </c>
      <c r="E949" s="35" t="n">
        <v>40</v>
      </c>
      <c r="F949" s="35" t="s">
        <v>234</v>
      </c>
      <c r="G949" s="35" t="s">
        <v>217</v>
      </c>
      <c r="H949" s="35" t="s">
        <v>210</v>
      </c>
      <c r="I949" s="35" t="s">
        <v>201</v>
      </c>
      <c r="J949" s="35" t="n">
        <v>10</v>
      </c>
      <c r="K949" s="65" t="n">
        <v>47314.42</v>
      </c>
      <c r="L949" s="65" t="n">
        <v>473144.2</v>
      </c>
      <c r="M949" s="66" t="n">
        <f aca="false">DATE(YEAR(B949),MONTH(B949),1)</f>
        <v>45778</v>
      </c>
      <c r="N949" s="35" t="str">
        <f aca="false">IF(G949="","Unknown",G949)</f>
        <v>Kolkata</v>
      </c>
      <c r="O949" s="35" t="str">
        <f aca="false">IF(E949="","Unknown",IF(E949&lt;=25,"18-25",IF(E949&lt;=35,"26-35",IF(E949&lt;=45,"36-45",IF(E949&lt;=55,"46-55","56-65")))))</f>
        <v>36-45</v>
      </c>
      <c r="P949" s="35" t="n">
        <f aca="false">COUNTIF($C$2:$C$1001,C949)</f>
        <v>1</v>
      </c>
      <c r="Q949" s="35" t="n">
        <f aca="false">IF(COUNTIF($C$2:C949,C949)=1,1,0)</f>
        <v>1</v>
      </c>
    </row>
    <row r="950" customFormat="false" ht="15" hidden="false" customHeight="false" outlineLevel="0" collapsed="false">
      <c r="A950" s="35" t="s">
        <v>2510</v>
      </c>
      <c r="B950" s="64" t="n">
        <v>45962</v>
      </c>
      <c r="C950" s="35" t="s">
        <v>2511</v>
      </c>
      <c r="D950" s="35" t="s">
        <v>1190</v>
      </c>
      <c r="E950" s="35"/>
      <c r="F950" s="35" t="s">
        <v>234</v>
      </c>
      <c r="G950" s="35" t="s">
        <v>222</v>
      </c>
      <c r="H950" s="35" t="s">
        <v>208</v>
      </c>
      <c r="I950" s="35" t="s">
        <v>200</v>
      </c>
      <c r="J950" s="35" t="n">
        <v>9</v>
      </c>
      <c r="K950" s="65" t="n">
        <v>34569.56</v>
      </c>
      <c r="L950" s="65" t="n">
        <v>311126.04</v>
      </c>
      <c r="M950" s="66" t="n">
        <f aca="false">DATE(YEAR(B950),MONTH(B950),1)</f>
        <v>45962</v>
      </c>
      <c r="N950" s="35" t="str">
        <f aca="false">IF(G950="","Unknown",G950)</f>
        <v>Pune</v>
      </c>
      <c r="O950" s="35" t="str">
        <f aca="false">IF(E950="","Unknown",IF(E950&lt;=25,"18-25",IF(E950&lt;=35,"26-35",IF(E950&lt;=45,"36-45",IF(E950&lt;=55,"46-55","56-65")))))</f>
        <v>Unknown</v>
      </c>
      <c r="P950" s="35" t="n">
        <f aca="false">COUNTIF($C$2:$C$1001,C950)</f>
        <v>1</v>
      </c>
      <c r="Q950" s="35" t="n">
        <f aca="false">IF(COUNTIF($C$2:C950,C950)=1,1,0)</f>
        <v>1</v>
      </c>
    </row>
    <row r="951" customFormat="false" ht="15" hidden="false" customHeight="false" outlineLevel="0" collapsed="false">
      <c r="A951" s="35" t="s">
        <v>2512</v>
      </c>
      <c r="B951" s="64" t="n">
        <v>45794</v>
      </c>
      <c r="C951" s="35" t="s">
        <v>2513</v>
      </c>
      <c r="D951" s="35" t="s">
        <v>615</v>
      </c>
      <c r="E951" s="35" t="n">
        <v>22</v>
      </c>
      <c r="F951" s="35" t="s">
        <v>234</v>
      </c>
      <c r="G951" s="35" t="s">
        <v>222</v>
      </c>
      <c r="H951" s="35" t="s">
        <v>209</v>
      </c>
      <c r="I951" s="35" t="s">
        <v>200</v>
      </c>
      <c r="J951" s="35" t="n">
        <v>8</v>
      </c>
      <c r="K951" s="65" t="n">
        <v>29747.29</v>
      </c>
      <c r="L951" s="65" t="n">
        <v>237978.32</v>
      </c>
      <c r="M951" s="66" t="n">
        <f aca="false">DATE(YEAR(B951),MONTH(B951),1)</f>
        <v>45778</v>
      </c>
      <c r="N951" s="35" t="str">
        <f aca="false">IF(G951="","Unknown",G951)</f>
        <v>Pune</v>
      </c>
      <c r="O951" s="35" t="str">
        <f aca="false">IF(E951="","Unknown",IF(E951&lt;=25,"18-25",IF(E951&lt;=35,"26-35",IF(E951&lt;=45,"36-45",IF(E951&lt;=55,"46-55","56-65")))))</f>
        <v>18-25</v>
      </c>
      <c r="P951" s="35" t="n">
        <f aca="false">COUNTIF($C$2:$C$1001,C951)</f>
        <v>1</v>
      </c>
      <c r="Q951" s="35" t="n">
        <f aca="false">IF(COUNTIF($C$2:C951,C951)=1,1,0)</f>
        <v>1</v>
      </c>
    </row>
    <row r="952" customFormat="false" ht="15" hidden="false" customHeight="false" outlineLevel="0" collapsed="false">
      <c r="A952" s="35" t="s">
        <v>2514</v>
      </c>
      <c r="B952" s="64" t="n">
        <v>45701</v>
      </c>
      <c r="C952" s="35" t="s">
        <v>2515</v>
      </c>
      <c r="D952" s="35" t="s">
        <v>2097</v>
      </c>
      <c r="E952" s="35" t="n">
        <v>48</v>
      </c>
      <c r="F952" s="35" t="s">
        <v>234</v>
      </c>
      <c r="G952" s="35" t="s">
        <v>221</v>
      </c>
      <c r="H952" s="35" t="s">
        <v>213</v>
      </c>
      <c r="I952" s="35" t="s">
        <v>204</v>
      </c>
      <c r="J952" s="35" t="n">
        <v>8</v>
      </c>
      <c r="K952" s="65" t="n">
        <v>24450.18</v>
      </c>
      <c r="L952" s="65" t="n">
        <v>195601.44</v>
      </c>
      <c r="M952" s="66" t="n">
        <f aca="false">DATE(YEAR(B952),MONTH(B952),1)</f>
        <v>45689</v>
      </c>
      <c r="N952" s="35" t="str">
        <f aca="false">IF(G952="","Unknown",G952)</f>
        <v>Delhi</v>
      </c>
      <c r="O952" s="35" t="str">
        <f aca="false">IF(E952="","Unknown",IF(E952&lt;=25,"18-25",IF(E952&lt;=35,"26-35",IF(E952&lt;=45,"36-45",IF(E952&lt;=55,"46-55","56-65")))))</f>
        <v>46-55</v>
      </c>
      <c r="P952" s="35" t="n">
        <f aca="false">COUNTIF($C$2:$C$1001,C952)</f>
        <v>1</v>
      </c>
      <c r="Q952" s="35" t="n">
        <f aca="false">IF(COUNTIF($C$2:C952,C952)=1,1,0)</f>
        <v>1</v>
      </c>
    </row>
    <row r="953" customFormat="false" ht="15" hidden="false" customHeight="false" outlineLevel="0" collapsed="false">
      <c r="A953" s="35" t="s">
        <v>2516</v>
      </c>
      <c r="B953" s="64" t="n">
        <v>45763</v>
      </c>
      <c r="C953" s="35" t="s">
        <v>2517</v>
      </c>
      <c r="D953" s="35" t="s">
        <v>1924</v>
      </c>
      <c r="E953" s="35" t="n">
        <v>53</v>
      </c>
      <c r="F953" s="35" t="s">
        <v>235</v>
      </c>
      <c r="G953" s="35" t="s">
        <v>217</v>
      </c>
      <c r="H953" s="35" t="s">
        <v>209</v>
      </c>
      <c r="I953" s="35" t="s">
        <v>200</v>
      </c>
      <c r="J953" s="35" t="n">
        <v>4</v>
      </c>
      <c r="K953" s="65" t="n">
        <v>13994.12</v>
      </c>
      <c r="L953" s="65" t="n">
        <v>55976.48</v>
      </c>
      <c r="M953" s="66" t="n">
        <f aca="false">DATE(YEAR(B953),MONTH(B953),1)</f>
        <v>45748</v>
      </c>
      <c r="N953" s="35" t="str">
        <f aca="false">IF(G953="","Unknown",G953)</f>
        <v>Kolkata</v>
      </c>
      <c r="O953" s="35" t="str">
        <f aca="false">IF(E953="","Unknown",IF(E953&lt;=25,"18-25",IF(E953&lt;=35,"26-35",IF(E953&lt;=45,"36-45",IF(E953&lt;=55,"46-55","56-65")))))</f>
        <v>46-55</v>
      </c>
      <c r="P953" s="35" t="n">
        <f aca="false">COUNTIF($C$2:$C$1001,C953)</f>
        <v>1</v>
      </c>
      <c r="Q953" s="35" t="n">
        <f aca="false">IF(COUNTIF($C$2:C953,C953)=1,1,0)</f>
        <v>1</v>
      </c>
    </row>
    <row r="954" customFormat="false" ht="15" hidden="false" customHeight="false" outlineLevel="0" collapsed="false">
      <c r="A954" s="35" t="s">
        <v>2518</v>
      </c>
      <c r="B954" s="64" t="n">
        <v>45880</v>
      </c>
      <c r="C954" s="35" t="s">
        <v>2519</v>
      </c>
      <c r="D954" s="35" t="s">
        <v>1748</v>
      </c>
      <c r="E954" s="35" t="n">
        <v>36</v>
      </c>
      <c r="F954" s="35" t="s">
        <v>234</v>
      </c>
      <c r="G954" s="35" t="s">
        <v>219</v>
      </c>
      <c r="H954" s="35" t="s">
        <v>213</v>
      </c>
      <c r="I954" s="35" t="s">
        <v>204</v>
      </c>
      <c r="J954" s="35" t="n">
        <v>9</v>
      </c>
      <c r="K954" s="65" t="n">
        <v>23583.66</v>
      </c>
      <c r="L954" s="65" t="n">
        <v>212252.94</v>
      </c>
      <c r="M954" s="66" t="n">
        <f aca="false">DATE(YEAR(B954),MONTH(B954),1)</f>
        <v>45870</v>
      </c>
      <c r="N954" s="35" t="str">
        <f aca="false">IF(G954="","Unknown",G954)</f>
        <v>Mumbai</v>
      </c>
      <c r="O954" s="35" t="str">
        <f aca="false">IF(E954="","Unknown",IF(E954&lt;=25,"18-25",IF(E954&lt;=35,"26-35",IF(E954&lt;=45,"36-45",IF(E954&lt;=55,"46-55","56-65")))))</f>
        <v>36-45</v>
      </c>
      <c r="P954" s="35" t="n">
        <f aca="false">COUNTIF($C$2:$C$1001,C954)</f>
        <v>1</v>
      </c>
      <c r="Q954" s="35" t="n">
        <f aca="false">IF(COUNTIF($C$2:C954,C954)=1,1,0)</f>
        <v>1</v>
      </c>
    </row>
    <row r="955" customFormat="false" ht="15" hidden="false" customHeight="false" outlineLevel="0" collapsed="false">
      <c r="A955" s="35" t="s">
        <v>2520</v>
      </c>
      <c r="B955" s="64" t="n">
        <v>45824</v>
      </c>
      <c r="C955" s="35" t="s">
        <v>2521</v>
      </c>
      <c r="D955" s="35" t="s">
        <v>278</v>
      </c>
      <c r="E955" s="35" t="n">
        <v>21</v>
      </c>
      <c r="F955" s="35" t="s">
        <v>234</v>
      </c>
      <c r="G955" s="35" t="s">
        <v>220</v>
      </c>
      <c r="H955" s="35" t="s">
        <v>213</v>
      </c>
      <c r="I955" s="35" t="s">
        <v>204</v>
      </c>
      <c r="J955" s="35" t="n">
        <v>3</v>
      </c>
      <c r="K955" s="65" t="n">
        <v>25138.65</v>
      </c>
      <c r="L955" s="65" t="n">
        <v>75415.95</v>
      </c>
      <c r="M955" s="66" t="n">
        <f aca="false">DATE(YEAR(B955),MONTH(B955),1)</f>
        <v>45809</v>
      </c>
      <c r="N955" s="35" t="str">
        <f aca="false">IF(G955="","Unknown",G955)</f>
        <v>Hyderabad</v>
      </c>
      <c r="O955" s="35" t="str">
        <f aca="false">IF(E955="","Unknown",IF(E955&lt;=25,"18-25",IF(E955&lt;=35,"26-35",IF(E955&lt;=45,"36-45",IF(E955&lt;=55,"46-55","56-65")))))</f>
        <v>18-25</v>
      </c>
      <c r="P955" s="35" t="n">
        <f aca="false">COUNTIF($C$2:$C$1001,C955)</f>
        <v>1</v>
      </c>
      <c r="Q955" s="35" t="n">
        <f aca="false">IF(COUNTIF($C$2:C955,C955)=1,1,0)</f>
        <v>1</v>
      </c>
    </row>
    <row r="956" customFormat="false" ht="15" hidden="false" customHeight="false" outlineLevel="0" collapsed="false">
      <c r="A956" s="35" t="s">
        <v>2522</v>
      </c>
      <c r="B956" s="64" t="n">
        <v>46001</v>
      </c>
      <c r="C956" s="35" t="s">
        <v>2523</v>
      </c>
      <c r="D956" s="35" t="s">
        <v>2524</v>
      </c>
      <c r="E956" s="35" t="n">
        <v>43</v>
      </c>
      <c r="F956" s="35" t="s">
        <v>234</v>
      </c>
      <c r="G956" s="35" t="s">
        <v>219</v>
      </c>
      <c r="H956" s="35" t="s">
        <v>209</v>
      </c>
      <c r="I956" s="35" t="s">
        <v>200</v>
      </c>
      <c r="J956" s="35" t="n">
        <v>3</v>
      </c>
      <c r="K956" s="65" t="n">
        <v>25618.42</v>
      </c>
      <c r="L956" s="65" t="n">
        <v>76855.26</v>
      </c>
      <c r="M956" s="66" t="n">
        <f aca="false">DATE(YEAR(B956),MONTH(B956),1)</f>
        <v>45992</v>
      </c>
      <c r="N956" s="35" t="str">
        <f aca="false">IF(G956="","Unknown",G956)</f>
        <v>Mumbai</v>
      </c>
      <c r="O956" s="35" t="str">
        <f aca="false">IF(E956="","Unknown",IF(E956&lt;=25,"18-25",IF(E956&lt;=35,"26-35",IF(E956&lt;=45,"36-45",IF(E956&lt;=55,"46-55","56-65")))))</f>
        <v>36-45</v>
      </c>
      <c r="P956" s="35" t="n">
        <f aca="false">COUNTIF($C$2:$C$1001,C956)</f>
        <v>1</v>
      </c>
      <c r="Q956" s="35" t="n">
        <f aca="false">IF(COUNTIF($C$2:C956,C956)=1,1,0)</f>
        <v>1</v>
      </c>
    </row>
    <row r="957" customFormat="false" ht="15" hidden="false" customHeight="false" outlineLevel="0" collapsed="false">
      <c r="A957" s="35" t="s">
        <v>2525</v>
      </c>
      <c r="B957" s="64" t="n">
        <v>45723</v>
      </c>
      <c r="C957" s="35" t="s">
        <v>2526</v>
      </c>
      <c r="D957" s="35" t="s">
        <v>503</v>
      </c>
      <c r="E957" s="35" t="n">
        <v>59</v>
      </c>
      <c r="F957" s="35" t="s">
        <v>234</v>
      </c>
      <c r="G957" s="35" t="s">
        <v>220</v>
      </c>
      <c r="H957" s="35" t="s">
        <v>213</v>
      </c>
      <c r="I957" s="35" t="s">
        <v>204</v>
      </c>
      <c r="J957" s="35" t="n">
        <v>3</v>
      </c>
      <c r="K957" s="65" t="n">
        <v>42044.69</v>
      </c>
      <c r="L957" s="65" t="n">
        <v>126134.07</v>
      </c>
      <c r="M957" s="66" t="n">
        <f aca="false">DATE(YEAR(B957),MONTH(B957),1)</f>
        <v>45717</v>
      </c>
      <c r="N957" s="35" t="str">
        <f aca="false">IF(G957="","Unknown",G957)</f>
        <v>Hyderabad</v>
      </c>
      <c r="O957" s="35" t="str">
        <f aca="false">IF(E957="","Unknown",IF(E957&lt;=25,"18-25",IF(E957&lt;=35,"26-35",IF(E957&lt;=45,"36-45",IF(E957&lt;=55,"46-55","56-65")))))</f>
        <v>56-65</v>
      </c>
      <c r="P957" s="35" t="n">
        <f aca="false">COUNTIF($C$2:$C$1001,C957)</f>
        <v>1</v>
      </c>
      <c r="Q957" s="35" t="n">
        <f aca="false">IF(COUNTIF($C$2:C957,C957)=1,1,0)</f>
        <v>1</v>
      </c>
    </row>
    <row r="958" customFormat="false" ht="15" hidden="false" customHeight="false" outlineLevel="0" collapsed="false">
      <c r="A958" s="35" t="s">
        <v>2527</v>
      </c>
      <c r="B958" s="64" t="n">
        <v>45757</v>
      </c>
      <c r="C958" s="35" t="s">
        <v>2528</v>
      </c>
      <c r="D958" s="35" t="s">
        <v>296</v>
      </c>
      <c r="E958" s="35" t="n">
        <v>65</v>
      </c>
      <c r="F958" s="35" t="s">
        <v>235</v>
      </c>
      <c r="G958" s="35" t="s">
        <v>219</v>
      </c>
      <c r="H958" s="35" t="s">
        <v>211</v>
      </c>
      <c r="I958" s="35" t="s">
        <v>202</v>
      </c>
      <c r="J958" s="35" t="n">
        <v>9</v>
      </c>
      <c r="K958" s="65" t="n">
        <v>33475.97</v>
      </c>
      <c r="L958" s="65" t="n">
        <v>301283.73</v>
      </c>
      <c r="M958" s="66" t="n">
        <f aca="false">DATE(YEAR(B958),MONTH(B958),1)</f>
        <v>45748</v>
      </c>
      <c r="N958" s="35" t="str">
        <f aca="false">IF(G958="","Unknown",G958)</f>
        <v>Mumbai</v>
      </c>
      <c r="O958" s="35" t="str">
        <f aca="false">IF(E958="","Unknown",IF(E958&lt;=25,"18-25",IF(E958&lt;=35,"26-35",IF(E958&lt;=45,"36-45",IF(E958&lt;=55,"46-55","56-65")))))</f>
        <v>56-65</v>
      </c>
      <c r="P958" s="35" t="n">
        <f aca="false">COUNTIF($C$2:$C$1001,C958)</f>
        <v>1</v>
      </c>
      <c r="Q958" s="35" t="n">
        <f aca="false">IF(COUNTIF($C$2:C958,C958)=1,1,0)</f>
        <v>1</v>
      </c>
    </row>
    <row r="959" customFormat="false" ht="15" hidden="false" customHeight="false" outlineLevel="0" collapsed="false">
      <c r="A959" s="35" t="s">
        <v>2529</v>
      </c>
      <c r="B959" s="64" t="n">
        <v>45666</v>
      </c>
      <c r="C959" s="35" t="s">
        <v>1562</v>
      </c>
      <c r="D959" s="35" t="s">
        <v>1599</v>
      </c>
      <c r="E959" s="35" t="n">
        <v>46</v>
      </c>
      <c r="F959" s="35" t="s">
        <v>235</v>
      </c>
      <c r="G959" s="35" t="s">
        <v>217</v>
      </c>
      <c r="H959" s="35" t="s">
        <v>211</v>
      </c>
      <c r="I959" s="35" t="s">
        <v>202</v>
      </c>
      <c r="J959" s="35" t="n">
        <v>5</v>
      </c>
      <c r="K959" s="65" t="n">
        <v>29215.06</v>
      </c>
      <c r="L959" s="65" t="n">
        <v>146075.3</v>
      </c>
      <c r="M959" s="66" t="n">
        <f aca="false">DATE(YEAR(B959),MONTH(B959),1)</f>
        <v>45658</v>
      </c>
      <c r="N959" s="35" t="str">
        <f aca="false">IF(G959="","Unknown",G959)</f>
        <v>Kolkata</v>
      </c>
      <c r="O959" s="35" t="str">
        <f aca="false">IF(E959="","Unknown",IF(E959&lt;=25,"18-25",IF(E959&lt;=35,"26-35",IF(E959&lt;=45,"36-45",IF(E959&lt;=55,"46-55","56-65")))))</f>
        <v>46-55</v>
      </c>
      <c r="P959" s="35" t="n">
        <f aca="false">COUNTIF($C$2:$C$1001,C959)</f>
        <v>2</v>
      </c>
      <c r="Q959" s="35" t="n">
        <f aca="false">IF(COUNTIF($C$2:C959,C959)=1,1,0)</f>
        <v>0</v>
      </c>
    </row>
    <row r="960" customFormat="false" ht="15" hidden="false" customHeight="false" outlineLevel="0" collapsed="false">
      <c r="A960" s="35" t="s">
        <v>392</v>
      </c>
      <c r="B960" s="64" t="n">
        <v>45697</v>
      </c>
      <c r="C960" s="35" t="s">
        <v>1666</v>
      </c>
      <c r="D960" s="35" t="s">
        <v>1260</v>
      </c>
      <c r="E960" s="35" t="n">
        <v>62</v>
      </c>
      <c r="F960" s="35" t="s">
        <v>234</v>
      </c>
      <c r="G960" s="35" t="s">
        <v>218</v>
      </c>
      <c r="H960" s="35" t="s">
        <v>209</v>
      </c>
      <c r="I960" s="35" t="s">
        <v>200</v>
      </c>
      <c r="J960" s="35" t="n">
        <v>1</v>
      </c>
      <c r="K960" s="65" t="n">
        <v>34619.77</v>
      </c>
      <c r="L960" s="65" t="n">
        <v>34619.77</v>
      </c>
      <c r="M960" s="66" t="n">
        <f aca="false">DATE(YEAR(B960),MONTH(B960),1)</f>
        <v>45689</v>
      </c>
      <c r="N960" s="35" t="str">
        <f aca="false">IF(G960="","Unknown",G960)</f>
        <v>Bengaluru</v>
      </c>
      <c r="O960" s="35" t="str">
        <f aca="false">IF(E960="","Unknown",IF(E960&lt;=25,"18-25",IF(E960&lt;=35,"26-35",IF(E960&lt;=45,"36-45",IF(E960&lt;=55,"46-55","56-65")))))</f>
        <v>56-65</v>
      </c>
      <c r="P960" s="35" t="n">
        <f aca="false">COUNTIF($C$2:$C$1001,C960)</f>
        <v>2</v>
      </c>
      <c r="Q960" s="35" t="n">
        <f aca="false">IF(COUNTIF($C$2:C960,C960)=1,1,0)</f>
        <v>0</v>
      </c>
    </row>
    <row r="961" customFormat="false" ht="15" hidden="false" customHeight="false" outlineLevel="0" collapsed="false">
      <c r="A961" s="35" t="s">
        <v>2530</v>
      </c>
      <c r="B961" s="64" t="n">
        <v>45961</v>
      </c>
      <c r="C961" s="35" t="s">
        <v>2531</v>
      </c>
      <c r="D961" s="35" t="s">
        <v>1185</v>
      </c>
      <c r="E961" s="35" t="n">
        <v>65</v>
      </c>
      <c r="F961" s="35" t="s">
        <v>235</v>
      </c>
      <c r="G961" s="35" t="s">
        <v>219</v>
      </c>
      <c r="H961" s="35" t="s">
        <v>210</v>
      </c>
      <c r="I961" s="35" t="s">
        <v>201</v>
      </c>
      <c r="J961" s="35" t="n">
        <v>9</v>
      </c>
      <c r="K961" s="65" t="n">
        <v>33480.07</v>
      </c>
      <c r="L961" s="65" t="n">
        <v>301320.63</v>
      </c>
      <c r="M961" s="66" t="n">
        <f aca="false">DATE(YEAR(B961),MONTH(B961),1)</f>
        <v>45931</v>
      </c>
      <c r="N961" s="35" t="str">
        <f aca="false">IF(G961="","Unknown",G961)</f>
        <v>Mumbai</v>
      </c>
      <c r="O961" s="35" t="str">
        <f aca="false">IF(E961="","Unknown",IF(E961&lt;=25,"18-25",IF(E961&lt;=35,"26-35",IF(E961&lt;=45,"36-45",IF(E961&lt;=55,"46-55","56-65")))))</f>
        <v>56-65</v>
      </c>
      <c r="P961" s="35" t="n">
        <f aca="false">COUNTIF($C$2:$C$1001,C961)</f>
        <v>1</v>
      </c>
      <c r="Q961" s="35" t="n">
        <f aca="false">IF(COUNTIF($C$2:C961,C961)=1,1,0)</f>
        <v>1</v>
      </c>
    </row>
    <row r="962" customFormat="false" ht="15" hidden="false" customHeight="false" outlineLevel="0" collapsed="false">
      <c r="A962" s="35" t="s">
        <v>2532</v>
      </c>
      <c r="B962" s="64" t="n">
        <v>45767</v>
      </c>
      <c r="C962" s="35" t="s">
        <v>2533</v>
      </c>
      <c r="D962" s="35" t="s">
        <v>2382</v>
      </c>
      <c r="E962" s="35" t="n">
        <v>40</v>
      </c>
      <c r="F962" s="35" t="s">
        <v>235</v>
      </c>
      <c r="G962" s="35" t="s">
        <v>223</v>
      </c>
      <c r="H962" s="35" t="s">
        <v>213</v>
      </c>
      <c r="I962" s="35" t="s">
        <v>204</v>
      </c>
      <c r="J962" s="35" t="n">
        <v>10</v>
      </c>
      <c r="K962" s="65" t="n">
        <v>8532.9</v>
      </c>
      <c r="L962" s="65" t="n">
        <v>85329</v>
      </c>
      <c r="M962" s="66" t="n">
        <f aca="false">DATE(YEAR(B962),MONTH(B962),1)</f>
        <v>45748</v>
      </c>
      <c r="N962" s="35" t="str">
        <f aca="false">IF(G962="","Unknown",G962)</f>
        <v>Gaya</v>
      </c>
      <c r="O962" s="35" t="str">
        <f aca="false">IF(E962="","Unknown",IF(E962&lt;=25,"18-25",IF(E962&lt;=35,"26-35",IF(E962&lt;=45,"36-45",IF(E962&lt;=55,"46-55","56-65")))))</f>
        <v>36-45</v>
      </c>
      <c r="P962" s="35" t="n">
        <f aca="false">COUNTIF($C$2:$C$1001,C962)</f>
        <v>1</v>
      </c>
      <c r="Q962" s="35" t="n">
        <f aca="false">IF(COUNTIF($C$2:C962,C962)=1,1,0)</f>
        <v>1</v>
      </c>
    </row>
    <row r="963" customFormat="false" ht="15" hidden="false" customHeight="false" outlineLevel="0" collapsed="false">
      <c r="A963" s="35" t="s">
        <v>2534</v>
      </c>
      <c r="B963" s="64" t="n">
        <v>46000</v>
      </c>
      <c r="C963" s="35" t="s">
        <v>2535</v>
      </c>
      <c r="D963" s="35" t="s">
        <v>850</v>
      </c>
      <c r="E963" s="35" t="n">
        <v>49</v>
      </c>
      <c r="F963" s="35" t="s">
        <v>235</v>
      </c>
      <c r="G963" s="35" t="s">
        <v>223</v>
      </c>
      <c r="H963" s="35" t="s">
        <v>208</v>
      </c>
      <c r="I963" s="35" t="s">
        <v>200</v>
      </c>
      <c r="J963" s="35" t="n">
        <v>7</v>
      </c>
      <c r="K963" s="65" t="n">
        <v>31899.76</v>
      </c>
      <c r="L963" s="65" t="n">
        <v>223298.32</v>
      </c>
      <c r="M963" s="66" t="n">
        <f aca="false">DATE(YEAR(B963),MONTH(B963),1)</f>
        <v>45992</v>
      </c>
      <c r="N963" s="35" t="str">
        <f aca="false">IF(G963="","Unknown",G963)</f>
        <v>Gaya</v>
      </c>
      <c r="O963" s="35" t="str">
        <f aca="false">IF(E963="","Unknown",IF(E963&lt;=25,"18-25",IF(E963&lt;=35,"26-35",IF(E963&lt;=45,"36-45",IF(E963&lt;=55,"46-55","56-65")))))</f>
        <v>46-55</v>
      </c>
      <c r="P963" s="35" t="n">
        <f aca="false">COUNTIF($C$2:$C$1001,C963)</f>
        <v>1</v>
      </c>
      <c r="Q963" s="35" t="n">
        <f aca="false">IF(COUNTIF($C$2:C963,C963)=1,1,0)</f>
        <v>1</v>
      </c>
    </row>
    <row r="964" customFormat="false" ht="15" hidden="false" customHeight="false" outlineLevel="0" collapsed="false">
      <c r="A964" s="35" t="s">
        <v>2536</v>
      </c>
      <c r="B964" s="64" t="n">
        <v>45999</v>
      </c>
      <c r="C964" s="35" t="s">
        <v>2537</v>
      </c>
      <c r="D964" s="35" t="s">
        <v>1021</v>
      </c>
      <c r="E964" s="35" t="n">
        <v>48</v>
      </c>
      <c r="F964" s="35" t="s">
        <v>235</v>
      </c>
      <c r="G964" s="35" t="s">
        <v>218</v>
      </c>
      <c r="H964" s="35" t="s">
        <v>212</v>
      </c>
      <c r="I964" s="35" t="s">
        <v>203</v>
      </c>
      <c r="J964" s="35" t="n">
        <v>5</v>
      </c>
      <c r="K964" s="65" t="n">
        <v>30847.69</v>
      </c>
      <c r="L964" s="65" t="n">
        <v>154238.45</v>
      </c>
      <c r="M964" s="66" t="n">
        <f aca="false">DATE(YEAR(B964),MONTH(B964),1)</f>
        <v>45992</v>
      </c>
      <c r="N964" s="35" t="str">
        <f aca="false">IF(G964="","Unknown",G964)</f>
        <v>Bengaluru</v>
      </c>
      <c r="O964" s="35" t="str">
        <f aca="false">IF(E964="","Unknown",IF(E964&lt;=25,"18-25",IF(E964&lt;=35,"26-35",IF(E964&lt;=45,"36-45",IF(E964&lt;=55,"46-55","56-65")))))</f>
        <v>46-55</v>
      </c>
      <c r="P964" s="35" t="n">
        <f aca="false">COUNTIF($C$2:$C$1001,C964)</f>
        <v>1</v>
      </c>
      <c r="Q964" s="35" t="n">
        <f aca="false">IF(COUNTIF($C$2:C964,C964)=1,1,0)</f>
        <v>1</v>
      </c>
    </row>
    <row r="965" customFormat="false" ht="15" hidden="false" customHeight="false" outlineLevel="0" collapsed="false">
      <c r="A965" s="35" t="s">
        <v>2538</v>
      </c>
      <c r="B965" s="64" t="n">
        <v>45902</v>
      </c>
      <c r="C965" s="35" t="s">
        <v>2539</v>
      </c>
      <c r="D965" s="35" t="s">
        <v>1304</v>
      </c>
      <c r="E965" s="35" t="n">
        <v>20</v>
      </c>
      <c r="F965" s="35" t="s">
        <v>234</v>
      </c>
      <c r="G965" s="35" t="s">
        <v>222</v>
      </c>
      <c r="H965" s="35" t="s">
        <v>209</v>
      </c>
      <c r="I965" s="35" t="s">
        <v>200</v>
      </c>
      <c r="J965" s="35" t="n">
        <v>2</v>
      </c>
      <c r="K965" s="65" t="n">
        <v>39578.6</v>
      </c>
      <c r="L965" s="65" t="n">
        <v>79157.2</v>
      </c>
      <c r="M965" s="66" t="n">
        <f aca="false">DATE(YEAR(B965),MONTH(B965),1)</f>
        <v>45901</v>
      </c>
      <c r="N965" s="35" t="str">
        <f aca="false">IF(G965="","Unknown",G965)</f>
        <v>Pune</v>
      </c>
      <c r="O965" s="35" t="str">
        <f aca="false">IF(E965="","Unknown",IF(E965&lt;=25,"18-25",IF(E965&lt;=35,"26-35",IF(E965&lt;=45,"36-45",IF(E965&lt;=55,"46-55","56-65")))))</f>
        <v>18-25</v>
      </c>
      <c r="P965" s="35" t="n">
        <f aca="false">COUNTIF($C$2:$C$1001,C965)</f>
        <v>1</v>
      </c>
      <c r="Q965" s="35" t="n">
        <f aca="false">IF(COUNTIF($C$2:C965,C965)=1,1,0)</f>
        <v>1</v>
      </c>
    </row>
    <row r="966" customFormat="false" ht="15" hidden="false" customHeight="false" outlineLevel="0" collapsed="false">
      <c r="A966" s="35" t="s">
        <v>2540</v>
      </c>
      <c r="B966" s="64" t="n">
        <v>45790</v>
      </c>
      <c r="C966" s="35" t="s">
        <v>2541</v>
      </c>
      <c r="D966" s="35" t="s">
        <v>269</v>
      </c>
      <c r="E966" s="35" t="n">
        <v>54</v>
      </c>
      <c r="F966" s="35" t="s">
        <v>235</v>
      </c>
      <c r="G966" s="35" t="s">
        <v>221</v>
      </c>
      <c r="H966" s="35" t="s">
        <v>209</v>
      </c>
      <c r="I966" s="35" t="s">
        <v>200</v>
      </c>
      <c r="J966" s="35" t="n">
        <v>8</v>
      </c>
      <c r="K966" s="65" t="n">
        <v>35028.53</v>
      </c>
      <c r="L966" s="65" t="n">
        <v>280228.24</v>
      </c>
      <c r="M966" s="66" t="n">
        <f aca="false">DATE(YEAR(B966),MONTH(B966),1)</f>
        <v>45778</v>
      </c>
      <c r="N966" s="35" t="str">
        <f aca="false">IF(G966="","Unknown",G966)</f>
        <v>Delhi</v>
      </c>
      <c r="O966" s="35" t="str">
        <f aca="false">IF(E966="","Unknown",IF(E966&lt;=25,"18-25",IF(E966&lt;=35,"26-35",IF(E966&lt;=45,"36-45",IF(E966&lt;=55,"46-55","56-65")))))</f>
        <v>46-55</v>
      </c>
      <c r="P966" s="35" t="n">
        <f aca="false">COUNTIF($C$2:$C$1001,C966)</f>
        <v>1</v>
      </c>
      <c r="Q966" s="35" t="n">
        <f aca="false">IF(COUNTIF($C$2:C966,C966)=1,1,0)</f>
        <v>1</v>
      </c>
    </row>
    <row r="967" customFormat="false" ht="15" hidden="false" customHeight="false" outlineLevel="0" collapsed="false">
      <c r="A967" s="35" t="s">
        <v>2542</v>
      </c>
      <c r="B967" s="64" t="n">
        <v>45843</v>
      </c>
      <c r="C967" s="35" t="s">
        <v>2543</v>
      </c>
      <c r="D967" s="35" t="s">
        <v>284</v>
      </c>
      <c r="E967" s="35" t="n">
        <v>44</v>
      </c>
      <c r="F967" s="35" t="s">
        <v>235</v>
      </c>
      <c r="G967" s="35" t="s">
        <v>218</v>
      </c>
      <c r="H967" s="35" t="s">
        <v>209</v>
      </c>
      <c r="I967" s="35" t="s">
        <v>200</v>
      </c>
      <c r="J967" s="35" t="n">
        <v>6</v>
      </c>
      <c r="K967" s="65" t="n">
        <v>6287.85</v>
      </c>
      <c r="L967" s="65" t="n">
        <v>37727.1</v>
      </c>
      <c r="M967" s="66" t="n">
        <f aca="false">DATE(YEAR(B967),MONTH(B967),1)</f>
        <v>45839</v>
      </c>
      <c r="N967" s="35" t="str">
        <f aca="false">IF(G967="","Unknown",G967)</f>
        <v>Bengaluru</v>
      </c>
      <c r="O967" s="35" t="str">
        <f aca="false">IF(E967="","Unknown",IF(E967&lt;=25,"18-25",IF(E967&lt;=35,"26-35",IF(E967&lt;=45,"36-45",IF(E967&lt;=55,"46-55","56-65")))))</f>
        <v>36-45</v>
      </c>
      <c r="P967" s="35" t="n">
        <f aca="false">COUNTIF($C$2:$C$1001,C967)</f>
        <v>1</v>
      </c>
      <c r="Q967" s="35" t="n">
        <f aca="false">IF(COUNTIF($C$2:C967,C967)=1,1,0)</f>
        <v>1</v>
      </c>
    </row>
    <row r="968" customFormat="false" ht="15" hidden="false" customHeight="false" outlineLevel="0" collapsed="false">
      <c r="A968" s="35" t="s">
        <v>2544</v>
      </c>
      <c r="B968" s="64" t="n">
        <v>45703</v>
      </c>
      <c r="C968" s="35" t="s">
        <v>2545</v>
      </c>
      <c r="D968" s="35" t="s">
        <v>2546</v>
      </c>
      <c r="E968" s="35" t="n">
        <v>61</v>
      </c>
      <c r="F968" s="35" t="s">
        <v>235</v>
      </c>
      <c r="G968" s="35" t="s">
        <v>221</v>
      </c>
      <c r="H968" s="35" t="s">
        <v>212</v>
      </c>
      <c r="I968" s="35" t="s">
        <v>203</v>
      </c>
      <c r="J968" s="35" t="n">
        <v>3</v>
      </c>
      <c r="K968" s="65" t="n">
        <v>32751.77</v>
      </c>
      <c r="L968" s="65" t="n">
        <v>98255.31</v>
      </c>
      <c r="M968" s="66" t="n">
        <f aca="false">DATE(YEAR(B968),MONTH(B968),1)</f>
        <v>45689</v>
      </c>
      <c r="N968" s="35" t="str">
        <f aca="false">IF(G968="","Unknown",G968)</f>
        <v>Delhi</v>
      </c>
      <c r="O968" s="35" t="str">
        <f aca="false">IF(E968="","Unknown",IF(E968&lt;=25,"18-25",IF(E968&lt;=35,"26-35",IF(E968&lt;=45,"36-45",IF(E968&lt;=55,"46-55","56-65")))))</f>
        <v>56-65</v>
      </c>
      <c r="P968" s="35" t="n">
        <f aca="false">COUNTIF($C$2:$C$1001,C968)</f>
        <v>1</v>
      </c>
      <c r="Q968" s="35" t="n">
        <f aca="false">IF(COUNTIF($C$2:C968,C968)=1,1,0)</f>
        <v>1</v>
      </c>
    </row>
    <row r="969" customFormat="false" ht="15" hidden="false" customHeight="false" outlineLevel="0" collapsed="false">
      <c r="A969" s="35" t="s">
        <v>2547</v>
      </c>
      <c r="B969" s="64" t="n">
        <v>45859</v>
      </c>
      <c r="C969" s="35" t="s">
        <v>2548</v>
      </c>
      <c r="D969" s="35" t="s">
        <v>275</v>
      </c>
      <c r="E969" s="35" t="n">
        <v>58</v>
      </c>
      <c r="F969" s="35" t="s">
        <v>234</v>
      </c>
      <c r="G969" s="35" t="s">
        <v>219</v>
      </c>
      <c r="H969" s="35" t="s">
        <v>208</v>
      </c>
      <c r="I969" s="35" t="s">
        <v>200</v>
      </c>
      <c r="J969" s="35" t="n">
        <v>9</v>
      </c>
      <c r="K969" s="65" t="n">
        <v>24421.73</v>
      </c>
      <c r="L969" s="65" t="n">
        <v>219795.57</v>
      </c>
      <c r="M969" s="66" t="n">
        <f aca="false">DATE(YEAR(B969),MONTH(B969),1)</f>
        <v>45839</v>
      </c>
      <c r="N969" s="35" t="str">
        <f aca="false">IF(G969="","Unknown",G969)</f>
        <v>Mumbai</v>
      </c>
      <c r="O969" s="35" t="str">
        <f aca="false">IF(E969="","Unknown",IF(E969&lt;=25,"18-25",IF(E969&lt;=35,"26-35",IF(E969&lt;=45,"36-45",IF(E969&lt;=55,"46-55","56-65")))))</f>
        <v>56-65</v>
      </c>
      <c r="P969" s="35" t="n">
        <f aca="false">COUNTIF($C$2:$C$1001,C969)</f>
        <v>1</v>
      </c>
      <c r="Q969" s="35" t="n">
        <f aca="false">IF(COUNTIF($C$2:C969,C969)=1,1,0)</f>
        <v>1</v>
      </c>
    </row>
    <row r="970" customFormat="false" ht="15" hidden="false" customHeight="false" outlineLevel="0" collapsed="false">
      <c r="A970" s="35" t="s">
        <v>2549</v>
      </c>
      <c r="B970" s="64" t="n">
        <v>45877</v>
      </c>
      <c r="C970" s="35" t="s">
        <v>2550</v>
      </c>
      <c r="D970" s="35" t="s">
        <v>590</v>
      </c>
      <c r="E970" s="35" t="n">
        <v>27</v>
      </c>
      <c r="F970" s="35" t="s">
        <v>235</v>
      </c>
      <c r="G970" s="35" t="s">
        <v>218</v>
      </c>
      <c r="H970" s="35" t="s">
        <v>213</v>
      </c>
      <c r="I970" s="35" t="s">
        <v>204</v>
      </c>
      <c r="J970" s="35" t="n">
        <v>1</v>
      </c>
      <c r="K970" s="65" t="n">
        <v>31739.18</v>
      </c>
      <c r="L970" s="65" t="n">
        <v>31739.18</v>
      </c>
      <c r="M970" s="66" t="n">
        <f aca="false">DATE(YEAR(B970),MONTH(B970),1)</f>
        <v>45870</v>
      </c>
      <c r="N970" s="35" t="str">
        <f aca="false">IF(G970="","Unknown",G970)</f>
        <v>Bengaluru</v>
      </c>
      <c r="O970" s="35" t="str">
        <f aca="false">IF(E970="","Unknown",IF(E970&lt;=25,"18-25",IF(E970&lt;=35,"26-35",IF(E970&lt;=45,"36-45",IF(E970&lt;=55,"46-55","56-65")))))</f>
        <v>26-35</v>
      </c>
      <c r="P970" s="35" t="n">
        <f aca="false">COUNTIF($C$2:$C$1001,C970)</f>
        <v>1</v>
      </c>
      <c r="Q970" s="35" t="n">
        <f aca="false">IF(COUNTIF($C$2:C970,C970)=1,1,0)</f>
        <v>1</v>
      </c>
    </row>
    <row r="971" customFormat="false" ht="15" hidden="false" customHeight="false" outlineLevel="0" collapsed="false">
      <c r="A971" s="35" t="s">
        <v>2551</v>
      </c>
      <c r="B971" s="64" t="n">
        <v>45710</v>
      </c>
      <c r="C971" s="35" t="s">
        <v>2552</v>
      </c>
      <c r="D971" s="35" t="s">
        <v>651</v>
      </c>
      <c r="E971" s="35" t="n">
        <v>31</v>
      </c>
      <c r="F971" s="35" t="s">
        <v>235</v>
      </c>
      <c r="G971" s="35" t="s">
        <v>223</v>
      </c>
      <c r="H971" s="35" t="s">
        <v>211</v>
      </c>
      <c r="I971" s="35" t="s">
        <v>202</v>
      </c>
      <c r="J971" s="35" t="n">
        <v>1</v>
      </c>
      <c r="K971" s="65" t="n">
        <v>6976.56</v>
      </c>
      <c r="L971" s="65" t="n">
        <v>6976.56</v>
      </c>
      <c r="M971" s="66" t="n">
        <f aca="false">DATE(YEAR(B971),MONTH(B971),1)</f>
        <v>45689</v>
      </c>
      <c r="N971" s="35" t="str">
        <f aca="false">IF(G971="","Unknown",G971)</f>
        <v>Gaya</v>
      </c>
      <c r="O971" s="35" t="str">
        <f aca="false">IF(E971="","Unknown",IF(E971&lt;=25,"18-25",IF(E971&lt;=35,"26-35",IF(E971&lt;=45,"36-45",IF(E971&lt;=55,"46-55","56-65")))))</f>
        <v>26-35</v>
      </c>
      <c r="P971" s="35" t="n">
        <f aca="false">COUNTIF($C$2:$C$1001,C971)</f>
        <v>1</v>
      </c>
      <c r="Q971" s="35" t="n">
        <f aca="false">IF(COUNTIF($C$2:C971,C971)=1,1,0)</f>
        <v>1</v>
      </c>
    </row>
    <row r="972" customFormat="false" ht="15" hidden="false" customHeight="false" outlineLevel="0" collapsed="false">
      <c r="A972" s="35" t="s">
        <v>2553</v>
      </c>
      <c r="B972" s="64" t="n">
        <v>45905</v>
      </c>
      <c r="C972" s="35" t="s">
        <v>2554</v>
      </c>
      <c r="D972" s="35" t="s">
        <v>2555</v>
      </c>
      <c r="E972" s="35" t="n">
        <v>32</v>
      </c>
      <c r="F972" s="35" t="s">
        <v>234</v>
      </c>
      <c r="G972" s="35" t="s">
        <v>221</v>
      </c>
      <c r="H972" s="35" t="s">
        <v>210</v>
      </c>
      <c r="I972" s="35" t="s">
        <v>201</v>
      </c>
      <c r="J972" s="35" t="n">
        <v>4</v>
      </c>
      <c r="K972" s="65" t="n">
        <v>9989.04</v>
      </c>
      <c r="L972" s="65" t="n">
        <v>39956.16</v>
      </c>
      <c r="M972" s="66" t="n">
        <f aca="false">DATE(YEAR(B972),MONTH(B972),1)</f>
        <v>45901</v>
      </c>
      <c r="N972" s="35" t="str">
        <f aca="false">IF(G972="","Unknown",G972)</f>
        <v>Delhi</v>
      </c>
      <c r="O972" s="35" t="str">
        <f aca="false">IF(E972="","Unknown",IF(E972&lt;=25,"18-25",IF(E972&lt;=35,"26-35",IF(E972&lt;=45,"36-45",IF(E972&lt;=55,"46-55","56-65")))))</f>
        <v>26-35</v>
      </c>
      <c r="P972" s="35" t="n">
        <f aca="false">COUNTIF($C$2:$C$1001,C972)</f>
        <v>1</v>
      </c>
      <c r="Q972" s="35" t="n">
        <f aca="false">IF(COUNTIF($C$2:C972,C972)=1,1,0)</f>
        <v>1</v>
      </c>
    </row>
    <row r="973" customFormat="false" ht="15" hidden="false" customHeight="false" outlineLevel="0" collapsed="false">
      <c r="A973" s="35" t="s">
        <v>2556</v>
      </c>
      <c r="B973" s="64" t="n">
        <v>45966</v>
      </c>
      <c r="C973" s="35" t="s">
        <v>2557</v>
      </c>
      <c r="D973" s="35" t="s">
        <v>1679</v>
      </c>
      <c r="E973" s="35" t="n">
        <v>43</v>
      </c>
      <c r="F973" s="35" t="s">
        <v>234</v>
      </c>
      <c r="G973" s="35" t="s">
        <v>220</v>
      </c>
      <c r="H973" s="35" t="s">
        <v>208</v>
      </c>
      <c r="I973" s="35" t="s">
        <v>200</v>
      </c>
      <c r="J973" s="35" t="n">
        <v>10</v>
      </c>
      <c r="K973" s="65" t="n">
        <v>43146.39</v>
      </c>
      <c r="L973" s="65" t="n">
        <v>431463.9</v>
      </c>
      <c r="M973" s="66" t="n">
        <f aca="false">DATE(YEAR(B973),MONTH(B973),1)</f>
        <v>45962</v>
      </c>
      <c r="N973" s="35" t="str">
        <f aca="false">IF(G973="","Unknown",G973)</f>
        <v>Hyderabad</v>
      </c>
      <c r="O973" s="35" t="str">
        <f aca="false">IF(E973="","Unknown",IF(E973&lt;=25,"18-25",IF(E973&lt;=35,"26-35",IF(E973&lt;=45,"36-45",IF(E973&lt;=55,"46-55","56-65")))))</f>
        <v>36-45</v>
      </c>
      <c r="P973" s="35" t="n">
        <f aca="false">COUNTIF($C$2:$C$1001,C973)</f>
        <v>1</v>
      </c>
      <c r="Q973" s="35" t="n">
        <f aca="false">IF(COUNTIF($C$2:C973,C973)=1,1,0)</f>
        <v>1</v>
      </c>
    </row>
    <row r="974" customFormat="false" ht="15" hidden="false" customHeight="false" outlineLevel="0" collapsed="false">
      <c r="A974" s="35" t="s">
        <v>2558</v>
      </c>
      <c r="B974" s="64" t="n">
        <v>45866</v>
      </c>
      <c r="C974" s="35" t="s">
        <v>2559</v>
      </c>
      <c r="D974" s="35" t="s">
        <v>1931</v>
      </c>
      <c r="E974" s="35" t="n">
        <v>37</v>
      </c>
      <c r="F974" s="35" t="s">
        <v>234</v>
      </c>
      <c r="G974" s="35" t="s">
        <v>217</v>
      </c>
      <c r="H974" s="35" t="s">
        <v>208</v>
      </c>
      <c r="I974" s="35" t="s">
        <v>200</v>
      </c>
      <c r="J974" s="35" t="n">
        <v>10</v>
      </c>
      <c r="K974" s="65" t="n">
        <v>48566.78</v>
      </c>
      <c r="L974" s="65" t="n">
        <v>485667.8</v>
      </c>
      <c r="M974" s="66" t="n">
        <f aca="false">DATE(YEAR(B974),MONTH(B974),1)</f>
        <v>45839</v>
      </c>
      <c r="N974" s="35" t="str">
        <f aca="false">IF(G974="","Unknown",G974)</f>
        <v>Kolkata</v>
      </c>
      <c r="O974" s="35" t="str">
        <f aca="false">IF(E974="","Unknown",IF(E974&lt;=25,"18-25",IF(E974&lt;=35,"26-35",IF(E974&lt;=45,"36-45",IF(E974&lt;=55,"46-55","56-65")))))</f>
        <v>36-45</v>
      </c>
      <c r="P974" s="35" t="n">
        <f aca="false">COUNTIF($C$2:$C$1001,C974)</f>
        <v>1</v>
      </c>
      <c r="Q974" s="35" t="n">
        <f aca="false">IF(COUNTIF($C$2:C974,C974)=1,1,0)</f>
        <v>1</v>
      </c>
    </row>
    <row r="975" customFormat="false" ht="15" hidden="false" customHeight="false" outlineLevel="0" collapsed="false">
      <c r="A975" s="35" t="s">
        <v>2560</v>
      </c>
      <c r="B975" s="64" t="n">
        <v>45945</v>
      </c>
      <c r="C975" s="35" t="s">
        <v>620</v>
      </c>
      <c r="D975" s="35" t="s">
        <v>517</v>
      </c>
      <c r="E975" s="35" t="n">
        <v>25</v>
      </c>
      <c r="F975" s="35" t="s">
        <v>235</v>
      </c>
      <c r="G975" s="35"/>
      <c r="H975" s="35" t="s">
        <v>210</v>
      </c>
      <c r="I975" s="35" t="s">
        <v>201</v>
      </c>
      <c r="J975" s="35" t="n">
        <v>6</v>
      </c>
      <c r="K975" s="65" t="n">
        <v>6189.16</v>
      </c>
      <c r="L975" s="65" t="n">
        <v>37134.96</v>
      </c>
      <c r="M975" s="66" t="n">
        <f aca="false">DATE(YEAR(B975),MONTH(B975),1)</f>
        <v>45931</v>
      </c>
      <c r="N975" s="35" t="str">
        <f aca="false">IF(G975="","Unknown",G975)</f>
        <v>Unknown</v>
      </c>
      <c r="O975" s="35" t="str">
        <f aca="false">IF(E975="","Unknown",IF(E975&lt;=25,"18-25",IF(E975&lt;=35,"26-35",IF(E975&lt;=45,"36-45",IF(E975&lt;=55,"46-55","56-65")))))</f>
        <v>18-25</v>
      </c>
      <c r="P975" s="35" t="n">
        <f aca="false">COUNTIF($C$2:$C$1001,C975)</f>
        <v>2</v>
      </c>
      <c r="Q975" s="35" t="n">
        <f aca="false">IF(COUNTIF($C$2:C975,C975)=1,1,0)</f>
        <v>0</v>
      </c>
    </row>
    <row r="976" customFormat="false" ht="15" hidden="false" customHeight="false" outlineLevel="0" collapsed="false">
      <c r="A976" s="35" t="s">
        <v>2561</v>
      </c>
      <c r="B976" s="64" t="n">
        <v>45806</v>
      </c>
      <c r="C976" s="35" t="s">
        <v>2562</v>
      </c>
      <c r="D976" s="35" t="s">
        <v>1924</v>
      </c>
      <c r="E976" s="35" t="n">
        <v>22</v>
      </c>
      <c r="F976" s="35" t="s">
        <v>235</v>
      </c>
      <c r="G976" s="35" t="s">
        <v>216</v>
      </c>
      <c r="H976" s="35" t="s">
        <v>213</v>
      </c>
      <c r="I976" s="35" t="s">
        <v>204</v>
      </c>
      <c r="J976" s="35" t="n">
        <v>3</v>
      </c>
      <c r="K976" s="65" t="n">
        <v>46910.35</v>
      </c>
      <c r="L976" s="65" t="n">
        <v>140731.05</v>
      </c>
      <c r="M976" s="66" t="n">
        <f aca="false">DATE(YEAR(B976),MONTH(B976),1)</f>
        <v>45778</v>
      </c>
      <c r="N976" s="35" t="str">
        <f aca="false">IF(G976="","Unknown",G976)</f>
        <v>Patna</v>
      </c>
      <c r="O976" s="35" t="str">
        <f aca="false">IF(E976="","Unknown",IF(E976&lt;=25,"18-25",IF(E976&lt;=35,"26-35",IF(E976&lt;=45,"36-45",IF(E976&lt;=55,"46-55","56-65")))))</f>
        <v>18-25</v>
      </c>
      <c r="P976" s="35" t="n">
        <f aca="false">COUNTIF($C$2:$C$1001,C976)</f>
        <v>1</v>
      </c>
      <c r="Q976" s="35" t="n">
        <f aca="false">IF(COUNTIF($C$2:C976,C976)=1,1,0)</f>
        <v>1</v>
      </c>
    </row>
    <row r="977" customFormat="false" ht="15" hidden="false" customHeight="false" outlineLevel="0" collapsed="false">
      <c r="A977" s="35" t="s">
        <v>2563</v>
      </c>
      <c r="B977" s="64" t="n">
        <v>45946</v>
      </c>
      <c r="C977" s="35" t="s">
        <v>2564</v>
      </c>
      <c r="D977" s="35" t="s">
        <v>376</v>
      </c>
      <c r="E977" s="35" t="n">
        <v>24</v>
      </c>
      <c r="F977" s="35" t="s">
        <v>234</v>
      </c>
      <c r="G977" s="35" t="s">
        <v>221</v>
      </c>
      <c r="H977" s="35" t="s">
        <v>213</v>
      </c>
      <c r="I977" s="35" t="s">
        <v>204</v>
      </c>
      <c r="J977" s="35" t="n">
        <v>1</v>
      </c>
      <c r="K977" s="65" t="n">
        <v>25737.43</v>
      </c>
      <c r="L977" s="65" t="n">
        <v>25737.43</v>
      </c>
      <c r="M977" s="66" t="n">
        <f aca="false">DATE(YEAR(B977),MONTH(B977),1)</f>
        <v>45931</v>
      </c>
      <c r="N977" s="35" t="str">
        <f aca="false">IF(G977="","Unknown",G977)</f>
        <v>Delhi</v>
      </c>
      <c r="O977" s="35" t="str">
        <f aca="false">IF(E977="","Unknown",IF(E977&lt;=25,"18-25",IF(E977&lt;=35,"26-35",IF(E977&lt;=45,"36-45",IF(E977&lt;=55,"46-55","56-65")))))</f>
        <v>18-25</v>
      </c>
      <c r="P977" s="35" t="n">
        <f aca="false">COUNTIF($C$2:$C$1001,C977)</f>
        <v>1</v>
      </c>
      <c r="Q977" s="35" t="n">
        <f aca="false">IF(COUNTIF($C$2:C977,C977)=1,1,0)</f>
        <v>1</v>
      </c>
    </row>
    <row r="978" customFormat="false" ht="15" hidden="false" customHeight="false" outlineLevel="0" collapsed="false">
      <c r="A978" s="35" t="s">
        <v>2565</v>
      </c>
      <c r="B978" s="64" t="n">
        <v>45708</v>
      </c>
      <c r="C978" s="35" t="s">
        <v>2566</v>
      </c>
      <c r="D978" s="35" t="s">
        <v>2286</v>
      </c>
      <c r="E978" s="35" t="n">
        <v>50</v>
      </c>
      <c r="F978" s="35" t="s">
        <v>234</v>
      </c>
      <c r="G978" s="35" t="s">
        <v>220</v>
      </c>
      <c r="H978" s="35" t="s">
        <v>213</v>
      </c>
      <c r="I978" s="35" t="s">
        <v>204</v>
      </c>
      <c r="J978" s="35" t="n">
        <v>3</v>
      </c>
      <c r="K978" s="65" t="n">
        <v>38656.45</v>
      </c>
      <c r="L978" s="65" t="n">
        <v>115969.35</v>
      </c>
      <c r="M978" s="66" t="n">
        <f aca="false">DATE(YEAR(B978),MONTH(B978),1)</f>
        <v>45689</v>
      </c>
      <c r="N978" s="35" t="str">
        <f aca="false">IF(G978="","Unknown",G978)</f>
        <v>Hyderabad</v>
      </c>
      <c r="O978" s="35" t="str">
        <f aca="false">IF(E978="","Unknown",IF(E978&lt;=25,"18-25",IF(E978&lt;=35,"26-35",IF(E978&lt;=45,"36-45",IF(E978&lt;=55,"46-55","56-65")))))</f>
        <v>46-55</v>
      </c>
      <c r="P978" s="35" t="n">
        <f aca="false">COUNTIF($C$2:$C$1001,C978)</f>
        <v>1</v>
      </c>
      <c r="Q978" s="35" t="n">
        <f aca="false">IF(COUNTIF($C$2:C978,C978)=1,1,0)</f>
        <v>1</v>
      </c>
    </row>
    <row r="979" customFormat="false" ht="15" hidden="false" customHeight="false" outlineLevel="0" collapsed="false">
      <c r="A979" s="35" t="s">
        <v>2567</v>
      </c>
      <c r="B979" s="64" t="n">
        <v>45821</v>
      </c>
      <c r="C979" s="35" t="s">
        <v>2568</v>
      </c>
      <c r="D979" s="35" t="s">
        <v>730</v>
      </c>
      <c r="E979" s="35" t="n">
        <v>48</v>
      </c>
      <c r="F979" s="35" t="s">
        <v>234</v>
      </c>
      <c r="G979" s="35" t="s">
        <v>220</v>
      </c>
      <c r="H979" s="35" t="s">
        <v>211</v>
      </c>
      <c r="I979" s="35" t="s">
        <v>202</v>
      </c>
      <c r="J979" s="35" t="n">
        <v>6</v>
      </c>
      <c r="K979" s="65" t="n">
        <v>44566.74</v>
      </c>
      <c r="L979" s="65" t="n">
        <v>267400.44</v>
      </c>
      <c r="M979" s="66" t="n">
        <f aca="false">DATE(YEAR(B979),MONTH(B979),1)</f>
        <v>45809</v>
      </c>
      <c r="N979" s="35" t="str">
        <f aca="false">IF(G979="","Unknown",G979)</f>
        <v>Hyderabad</v>
      </c>
      <c r="O979" s="35" t="str">
        <f aca="false">IF(E979="","Unknown",IF(E979&lt;=25,"18-25",IF(E979&lt;=35,"26-35",IF(E979&lt;=45,"36-45",IF(E979&lt;=55,"46-55","56-65")))))</f>
        <v>46-55</v>
      </c>
      <c r="P979" s="35" t="n">
        <f aca="false">COUNTIF($C$2:$C$1001,C979)</f>
        <v>1</v>
      </c>
      <c r="Q979" s="35" t="n">
        <f aca="false">IF(COUNTIF($C$2:C979,C979)=1,1,0)</f>
        <v>1</v>
      </c>
    </row>
    <row r="980" customFormat="false" ht="15" hidden="false" customHeight="false" outlineLevel="0" collapsed="false">
      <c r="A980" s="35" t="s">
        <v>2569</v>
      </c>
      <c r="B980" s="64" t="n">
        <v>45983</v>
      </c>
      <c r="C980" s="35" t="s">
        <v>2570</v>
      </c>
      <c r="D980" s="35" t="s">
        <v>985</v>
      </c>
      <c r="E980" s="35" t="n">
        <v>30</v>
      </c>
      <c r="F980" s="35" t="s">
        <v>234</v>
      </c>
      <c r="G980" s="35" t="s">
        <v>222</v>
      </c>
      <c r="H980" s="35" t="s">
        <v>208</v>
      </c>
      <c r="I980" s="35" t="s">
        <v>200</v>
      </c>
      <c r="J980" s="35" t="n">
        <v>5</v>
      </c>
      <c r="K980" s="65" t="n">
        <v>16513.54</v>
      </c>
      <c r="L980" s="65" t="n">
        <v>82567.7</v>
      </c>
      <c r="M980" s="66" t="n">
        <f aca="false">DATE(YEAR(B980),MONTH(B980),1)</f>
        <v>45962</v>
      </c>
      <c r="N980" s="35" t="str">
        <f aca="false">IF(G980="","Unknown",G980)</f>
        <v>Pune</v>
      </c>
      <c r="O980" s="35" t="str">
        <f aca="false">IF(E980="","Unknown",IF(E980&lt;=25,"18-25",IF(E980&lt;=35,"26-35",IF(E980&lt;=45,"36-45",IF(E980&lt;=55,"46-55","56-65")))))</f>
        <v>26-35</v>
      </c>
      <c r="P980" s="35" t="n">
        <f aca="false">COUNTIF($C$2:$C$1001,C980)</f>
        <v>1</v>
      </c>
      <c r="Q980" s="35" t="n">
        <f aca="false">IF(COUNTIF($C$2:C980,C980)=1,1,0)</f>
        <v>1</v>
      </c>
    </row>
    <row r="981" customFormat="false" ht="15" hidden="false" customHeight="false" outlineLevel="0" collapsed="false">
      <c r="A981" s="35" t="s">
        <v>2571</v>
      </c>
      <c r="B981" s="64" t="n">
        <v>45872</v>
      </c>
      <c r="C981" s="35" t="s">
        <v>1866</v>
      </c>
      <c r="D981" s="35" t="s">
        <v>1446</v>
      </c>
      <c r="E981" s="35" t="n">
        <v>24</v>
      </c>
      <c r="F981" s="35" t="s">
        <v>234</v>
      </c>
      <c r="G981" s="35" t="s">
        <v>220</v>
      </c>
      <c r="H981" s="35" t="s">
        <v>210</v>
      </c>
      <c r="I981" s="35" t="s">
        <v>201</v>
      </c>
      <c r="J981" s="35" t="n">
        <v>6</v>
      </c>
      <c r="K981" s="65" t="n">
        <v>5066.44</v>
      </c>
      <c r="L981" s="65" t="n">
        <v>30398.64</v>
      </c>
      <c r="M981" s="66" t="n">
        <f aca="false">DATE(YEAR(B981),MONTH(B981),1)</f>
        <v>45870</v>
      </c>
      <c r="N981" s="35" t="str">
        <f aca="false">IF(G981="","Unknown",G981)</f>
        <v>Hyderabad</v>
      </c>
      <c r="O981" s="35" t="str">
        <f aca="false">IF(E981="","Unknown",IF(E981&lt;=25,"18-25",IF(E981&lt;=35,"26-35",IF(E981&lt;=45,"36-45",IF(E981&lt;=55,"46-55","56-65")))))</f>
        <v>18-25</v>
      </c>
      <c r="P981" s="35" t="n">
        <f aca="false">COUNTIF($C$2:$C$1001,C981)</f>
        <v>2</v>
      </c>
      <c r="Q981" s="35" t="n">
        <f aca="false">IF(COUNTIF($C$2:C981,C981)=1,1,0)</f>
        <v>0</v>
      </c>
    </row>
    <row r="982" customFormat="false" ht="15" hidden="false" customHeight="false" outlineLevel="0" collapsed="false">
      <c r="A982" s="35" t="s">
        <v>2572</v>
      </c>
      <c r="B982" s="64" t="n">
        <v>45746</v>
      </c>
      <c r="C982" s="35" t="s">
        <v>2573</v>
      </c>
      <c r="D982" s="35" t="s">
        <v>2574</v>
      </c>
      <c r="E982" s="35" t="n">
        <v>54</v>
      </c>
      <c r="F982" s="35" t="s">
        <v>235</v>
      </c>
      <c r="G982" s="35" t="s">
        <v>218</v>
      </c>
      <c r="H982" s="35" t="s">
        <v>211</v>
      </c>
      <c r="I982" s="35" t="s">
        <v>202</v>
      </c>
      <c r="J982" s="35" t="n">
        <v>10</v>
      </c>
      <c r="K982" s="65" t="n">
        <v>46852.2</v>
      </c>
      <c r="L982" s="65" t="n">
        <v>468522</v>
      </c>
      <c r="M982" s="66" t="n">
        <f aca="false">DATE(YEAR(B982),MONTH(B982),1)</f>
        <v>45717</v>
      </c>
      <c r="N982" s="35" t="str">
        <f aca="false">IF(G982="","Unknown",G982)</f>
        <v>Bengaluru</v>
      </c>
      <c r="O982" s="35" t="str">
        <f aca="false">IF(E982="","Unknown",IF(E982&lt;=25,"18-25",IF(E982&lt;=35,"26-35",IF(E982&lt;=45,"36-45",IF(E982&lt;=55,"46-55","56-65")))))</f>
        <v>46-55</v>
      </c>
      <c r="P982" s="35" t="n">
        <f aca="false">COUNTIF($C$2:$C$1001,C982)</f>
        <v>1</v>
      </c>
      <c r="Q982" s="35" t="n">
        <f aca="false">IF(COUNTIF($C$2:C982,C982)=1,1,0)</f>
        <v>1</v>
      </c>
    </row>
    <row r="983" customFormat="false" ht="15" hidden="false" customHeight="false" outlineLevel="0" collapsed="false">
      <c r="A983" s="35" t="s">
        <v>2575</v>
      </c>
      <c r="B983" s="64" t="n">
        <v>45903</v>
      </c>
      <c r="C983" s="35" t="s">
        <v>2576</v>
      </c>
      <c r="D983" s="35" t="s">
        <v>546</v>
      </c>
      <c r="E983" s="35" t="n">
        <v>54</v>
      </c>
      <c r="F983" s="35" t="s">
        <v>234</v>
      </c>
      <c r="G983" s="35" t="s">
        <v>219</v>
      </c>
      <c r="H983" s="35" t="s">
        <v>213</v>
      </c>
      <c r="I983" s="35" t="s">
        <v>204</v>
      </c>
      <c r="J983" s="35" t="n">
        <v>3</v>
      </c>
      <c r="K983" s="65" t="n">
        <v>18013.26</v>
      </c>
      <c r="L983" s="65" t="n">
        <v>54039.78</v>
      </c>
      <c r="M983" s="66" t="n">
        <f aca="false">DATE(YEAR(B983),MONTH(B983),1)</f>
        <v>45901</v>
      </c>
      <c r="N983" s="35" t="str">
        <f aca="false">IF(G983="","Unknown",G983)</f>
        <v>Mumbai</v>
      </c>
      <c r="O983" s="35" t="str">
        <f aca="false">IF(E983="","Unknown",IF(E983&lt;=25,"18-25",IF(E983&lt;=35,"26-35",IF(E983&lt;=45,"36-45",IF(E983&lt;=55,"46-55","56-65")))))</f>
        <v>46-55</v>
      </c>
      <c r="P983" s="35" t="n">
        <f aca="false">COUNTIF($C$2:$C$1001,C983)</f>
        <v>1</v>
      </c>
      <c r="Q983" s="35" t="n">
        <f aca="false">IF(COUNTIF($C$2:C983,C983)=1,1,0)</f>
        <v>1</v>
      </c>
    </row>
    <row r="984" customFormat="false" ht="15" hidden="false" customHeight="false" outlineLevel="0" collapsed="false">
      <c r="A984" s="35" t="s">
        <v>2577</v>
      </c>
      <c r="B984" s="64" t="n">
        <v>45968</v>
      </c>
      <c r="C984" s="35" t="s">
        <v>2578</v>
      </c>
      <c r="D984" s="35" t="s">
        <v>882</v>
      </c>
      <c r="E984" s="35" t="n">
        <v>46</v>
      </c>
      <c r="F984" s="35" t="s">
        <v>235</v>
      </c>
      <c r="G984" s="35" t="s">
        <v>216</v>
      </c>
      <c r="H984" s="35" t="s">
        <v>213</v>
      </c>
      <c r="I984" s="35" t="s">
        <v>204</v>
      </c>
      <c r="J984" s="35" t="n">
        <v>4</v>
      </c>
      <c r="K984" s="65" t="n">
        <v>36188.72</v>
      </c>
      <c r="L984" s="65" t="n">
        <v>144754.88</v>
      </c>
      <c r="M984" s="66" t="n">
        <f aca="false">DATE(YEAR(B984),MONTH(B984),1)</f>
        <v>45962</v>
      </c>
      <c r="N984" s="35" t="str">
        <f aca="false">IF(G984="","Unknown",G984)</f>
        <v>Patna</v>
      </c>
      <c r="O984" s="35" t="str">
        <f aca="false">IF(E984="","Unknown",IF(E984&lt;=25,"18-25",IF(E984&lt;=35,"26-35",IF(E984&lt;=45,"36-45",IF(E984&lt;=55,"46-55","56-65")))))</f>
        <v>46-55</v>
      </c>
      <c r="P984" s="35" t="n">
        <f aca="false">COUNTIF($C$2:$C$1001,C984)</f>
        <v>1</v>
      </c>
      <c r="Q984" s="35" t="n">
        <f aca="false">IF(COUNTIF($C$2:C984,C984)=1,1,0)</f>
        <v>1</v>
      </c>
    </row>
    <row r="985" customFormat="false" ht="15" hidden="false" customHeight="false" outlineLevel="0" collapsed="false">
      <c r="A985" s="35" t="s">
        <v>2579</v>
      </c>
      <c r="B985" s="64" t="n">
        <v>45796</v>
      </c>
      <c r="C985" s="35" t="s">
        <v>2090</v>
      </c>
      <c r="D985" s="35" t="s">
        <v>1018</v>
      </c>
      <c r="E985" s="35" t="n">
        <v>58</v>
      </c>
      <c r="F985" s="35" t="s">
        <v>235</v>
      </c>
      <c r="G985" s="35" t="s">
        <v>223</v>
      </c>
      <c r="H985" s="35" t="s">
        <v>212</v>
      </c>
      <c r="I985" s="35" t="s">
        <v>203</v>
      </c>
      <c r="J985" s="35" t="n">
        <v>3</v>
      </c>
      <c r="K985" s="65" t="n">
        <v>33517.79</v>
      </c>
      <c r="L985" s="65" t="n">
        <v>100553.37</v>
      </c>
      <c r="M985" s="66" t="n">
        <f aca="false">DATE(YEAR(B985),MONTH(B985),1)</f>
        <v>45778</v>
      </c>
      <c r="N985" s="35" t="str">
        <f aca="false">IF(G985="","Unknown",G985)</f>
        <v>Gaya</v>
      </c>
      <c r="O985" s="35" t="str">
        <f aca="false">IF(E985="","Unknown",IF(E985&lt;=25,"18-25",IF(E985&lt;=35,"26-35",IF(E985&lt;=45,"36-45",IF(E985&lt;=55,"46-55","56-65")))))</f>
        <v>56-65</v>
      </c>
      <c r="P985" s="35" t="n">
        <f aca="false">COUNTIF($C$2:$C$1001,C985)</f>
        <v>2</v>
      </c>
      <c r="Q985" s="35" t="n">
        <f aca="false">IF(COUNTIF($C$2:C985,C985)=1,1,0)</f>
        <v>0</v>
      </c>
    </row>
    <row r="986" customFormat="false" ht="15" hidden="false" customHeight="false" outlineLevel="0" collapsed="false">
      <c r="A986" s="35" t="s">
        <v>2580</v>
      </c>
      <c r="B986" s="64" t="n">
        <v>45743</v>
      </c>
      <c r="C986" s="35" t="s">
        <v>2581</v>
      </c>
      <c r="D986" s="35" t="s">
        <v>621</v>
      </c>
      <c r="E986" s="35" t="n">
        <v>24</v>
      </c>
      <c r="F986" s="35" t="s">
        <v>234</v>
      </c>
      <c r="G986" s="35" t="s">
        <v>220</v>
      </c>
      <c r="H986" s="35" t="s">
        <v>211</v>
      </c>
      <c r="I986" s="35" t="s">
        <v>202</v>
      </c>
      <c r="J986" s="35" t="n">
        <v>1</v>
      </c>
      <c r="K986" s="65" t="n">
        <v>3375.35</v>
      </c>
      <c r="L986" s="65" t="n">
        <v>3375.35</v>
      </c>
      <c r="M986" s="66" t="n">
        <f aca="false">DATE(YEAR(B986),MONTH(B986),1)</f>
        <v>45717</v>
      </c>
      <c r="N986" s="35" t="str">
        <f aca="false">IF(G986="","Unknown",G986)</f>
        <v>Hyderabad</v>
      </c>
      <c r="O986" s="35" t="str">
        <f aca="false">IF(E986="","Unknown",IF(E986&lt;=25,"18-25",IF(E986&lt;=35,"26-35",IF(E986&lt;=45,"36-45",IF(E986&lt;=55,"46-55","56-65")))))</f>
        <v>18-25</v>
      </c>
      <c r="P986" s="35" t="n">
        <f aca="false">COUNTIF($C$2:$C$1001,C986)</f>
        <v>1</v>
      </c>
      <c r="Q986" s="35" t="n">
        <f aca="false">IF(COUNTIF($C$2:C986,C986)=1,1,0)</f>
        <v>1</v>
      </c>
    </row>
    <row r="987" customFormat="false" ht="15" hidden="false" customHeight="false" outlineLevel="0" collapsed="false">
      <c r="A987" s="35" t="s">
        <v>2582</v>
      </c>
      <c r="B987" s="64" t="n">
        <v>45732</v>
      </c>
      <c r="C987" s="35" t="s">
        <v>2583</v>
      </c>
      <c r="D987" s="35" t="s">
        <v>882</v>
      </c>
      <c r="E987" s="35" t="n">
        <v>37</v>
      </c>
      <c r="F987" s="35" t="s">
        <v>235</v>
      </c>
      <c r="G987" s="35" t="s">
        <v>219</v>
      </c>
      <c r="H987" s="35" t="s">
        <v>209</v>
      </c>
      <c r="I987" s="35" t="s">
        <v>200</v>
      </c>
      <c r="J987" s="35" t="n">
        <v>4</v>
      </c>
      <c r="K987" s="65" t="n">
        <v>34140.07</v>
      </c>
      <c r="L987" s="65" t="n">
        <v>136560.28</v>
      </c>
      <c r="M987" s="66" t="n">
        <f aca="false">DATE(YEAR(B987),MONTH(B987),1)</f>
        <v>45717</v>
      </c>
      <c r="N987" s="35" t="str">
        <f aca="false">IF(G987="","Unknown",G987)</f>
        <v>Mumbai</v>
      </c>
      <c r="O987" s="35" t="str">
        <f aca="false">IF(E987="","Unknown",IF(E987&lt;=25,"18-25",IF(E987&lt;=35,"26-35",IF(E987&lt;=45,"36-45",IF(E987&lt;=55,"46-55","56-65")))))</f>
        <v>36-45</v>
      </c>
      <c r="P987" s="35" t="n">
        <f aca="false">COUNTIF($C$2:$C$1001,C987)</f>
        <v>1</v>
      </c>
      <c r="Q987" s="35" t="n">
        <f aca="false">IF(COUNTIF($C$2:C987,C987)=1,1,0)</f>
        <v>1</v>
      </c>
    </row>
    <row r="988" customFormat="false" ht="15" hidden="false" customHeight="false" outlineLevel="0" collapsed="false">
      <c r="A988" s="35" t="s">
        <v>2584</v>
      </c>
      <c r="B988" s="64" t="n">
        <v>46007</v>
      </c>
      <c r="C988" s="35" t="s">
        <v>2585</v>
      </c>
      <c r="D988" s="35" t="s">
        <v>716</v>
      </c>
      <c r="E988" s="35" t="n">
        <v>27</v>
      </c>
      <c r="F988" s="35" t="s">
        <v>235</v>
      </c>
      <c r="G988" s="35" t="s">
        <v>222</v>
      </c>
      <c r="H988" s="35" t="s">
        <v>209</v>
      </c>
      <c r="I988" s="35" t="s">
        <v>200</v>
      </c>
      <c r="J988" s="35" t="n">
        <v>2</v>
      </c>
      <c r="K988" s="65" t="n">
        <v>17345.15</v>
      </c>
      <c r="L988" s="65" t="n">
        <v>34690.3</v>
      </c>
      <c r="M988" s="66" t="n">
        <f aca="false">DATE(YEAR(B988),MONTH(B988),1)</f>
        <v>45992</v>
      </c>
      <c r="N988" s="35" t="str">
        <f aca="false">IF(G988="","Unknown",G988)</f>
        <v>Pune</v>
      </c>
      <c r="O988" s="35" t="str">
        <f aca="false">IF(E988="","Unknown",IF(E988&lt;=25,"18-25",IF(E988&lt;=35,"26-35",IF(E988&lt;=45,"36-45",IF(E988&lt;=55,"46-55","56-65")))))</f>
        <v>26-35</v>
      </c>
      <c r="P988" s="35" t="n">
        <f aca="false">COUNTIF($C$2:$C$1001,C988)</f>
        <v>1</v>
      </c>
      <c r="Q988" s="35" t="n">
        <f aca="false">IF(COUNTIF($C$2:C988,C988)=1,1,0)</f>
        <v>1</v>
      </c>
    </row>
    <row r="989" customFormat="false" ht="15" hidden="false" customHeight="false" outlineLevel="0" collapsed="false">
      <c r="A989" s="35" t="s">
        <v>2586</v>
      </c>
      <c r="B989" s="64" t="n">
        <v>45948</v>
      </c>
      <c r="C989" s="35" t="s">
        <v>2587</v>
      </c>
      <c r="D989" s="35" t="s">
        <v>2588</v>
      </c>
      <c r="E989" s="35" t="n">
        <v>57</v>
      </c>
      <c r="F989" s="35" t="s">
        <v>234</v>
      </c>
      <c r="G989" s="35" t="s">
        <v>223</v>
      </c>
      <c r="H989" s="35" t="s">
        <v>212</v>
      </c>
      <c r="I989" s="35" t="s">
        <v>203</v>
      </c>
      <c r="J989" s="35" t="n">
        <v>2</v>
      </c>
      <c r="K989" s="65" t="n">
        <v>46527.93</v>
      </c>
      <c r="L989" s="65" t="n">
        <v>93055.86</v>
      </c>
      <c r="M989" s="66" t="n">
        <f aca="false">DATE(YEAR(B989),MONTH(B989),1)</f>
        <v>45931</v>
      </c>
      <c r="N989" s="35" t="str">
        <f aca="false">IF(G989="","Unknown",G989)</f>
        <v>Gaya</v>
      </c>
      <c r="O989" s="35" t="str">
        <f aca="false">IF(E989="","Unknown",IF(E989&lt;=25,"18-25",IF(E989&lt;=35,"26-35",IF(E989&lt;=45,"36-45",IF(E989&lt;=55,"46-55","56-65")))))</f>
        <v>56-65</v>
      </c>
      <c r="P989" s="35" t="n">
        <f aca="false">COUNTIF($C$2:$C$1001,C989)</f>
        <v>1</v>
      </c>
      <c r="Q989" s="35" t="n">
        <f aca="false">IF(COUNTIF($C$2:C989,C989)=1,1,0)</f>
        <v>1</v>
      </c>
    </row>
    <row r="990" customFormat="false" ht="15" hidden="false" customHeight="false" outlineLevel="0" collapsed="false">
      <c r="A990" s="35" t="s">
        <v>2589</v>
      </c>
      <c r="B990" s="64" t="n">
        <v>45761</v>
      </c>
      <c r="C990" s="35" t="s">
        <v>2590</v>
      </c>
      <c r="D990" s="35" t="s">
        <v>1037</v>
      </c>
      <c r="E990" s="35" t="n">
        <v>34</v>
      </c>
      <c r="F990" s="35" t="s">
        <v>234</v>
      </c>
      <c r="G990" s="35" t="s">
        <v>216</v>
      </c>
      <c r="H990" s="35" t="s">
        <v>211</v>
      </c>
      <c r="I990" s="35" t="s">
        <v>202</v>
      </c>
      <c r="J990" s="35" t="n">
        <v>1</v>
      </c>
      <c r="K990" s="65" t="n">
        <v>21819.5</v>
      </c>
      <c r="L990" s="65" t="n">
        <v>21819.5</v>
      </c>
      <c r="M990" s="66" t="n">
        <f aca="false">DATE(YEAR(B990),MONTH(B990),1)</f>
        <v>45748</v>
      </c>
      <c r="N990" s="35" t="str">
        <f aca="false">IF(G990="","Unknown",G990)</f>
        <v>Patna</v>
      </c>
      <c r="O990" s="35" t="str">
        <f aca="false">IF(E990="","Unknown",IF(E990&lt;=25,"18-25",IF(E990&lt;=35,"26-35",IF(E990&lt;=45,"36-45",IF(E990&lt;=55,"46-55","56-65")))))</f>
        <v>26-35</v>
      </c>
      <c r="P990" s="35" t="n">
        <f aca="false">COUNTIF($C$2:$C$1001,C990)</f>
        <v>1</v>
      </c>
      <c r="Q990" s="35" t="n">
        <f aca="false">IF(COUNTIF($C$2:C990,C990)=1,1,0)</f>
        <v>1</v>
      </c>
    </row>
    <row r="991" customFormat="false" ht="15" hidden="false" customHeight="false" outlineLevel="0" collapsed="false">
      <c r="A991" s="35" t="s">
        <v>2591</v>
      </c>
      <c r="B991" s="64" t="n">
        <v>45716</v>
      </c>
      <c r="C991" s="35" t="s">
        <v>2592</v>
      </c>
      <c r="D991" s="35" t="s">
        <v>523</v>
      </c>
      <c r="E991" s="35" t="n">
        <v>31</v>
      </c>
      <c r="F991" s="35" t="s">
        <v>234</v>
      </c>
      <c r="G991" s="35" t="s">
        <v>218</v>
      </c>
      <c r="H991" s="35" t="s">
        <v>209</v>
      </c>
      <c r="I991" s="35" t="s">
        <v>200</v>
      </c>
      <c r="J991" s="35" t="n">
        <v>4</v>
      </c>
      <c r="K991" s="65" t="n">
        <v>26365.27</v>
      </c>
      <c r="L991" s="65" t="n">
        <v>105461.08</v>
      </c>
      <c r="M991" s="66" t="n">
        <f aca="false">DATE(YEAR(B991),MONTH(B991),1)</f>
        <v>45689</v>
      </c>
      <c r="N991" s="35" t="str">
        <f aca="false">IF(G991="","Unknown",G991)</f>
        <v>Bengaluru</v>
      </c>
      <c r="O991" s="35" t="str">
        <f aca="false">IF(E991="","Unknown",IF(E991&lt;=25,"18-25",IF(E991&lt;=35,"26-35",IF(E991&lt;=45,"36-45",IF(E991&lt;=55,"46-55","56-65")))))</f>
        <v>26-35</v>
      </c>
      <c r="P991" s="35" t="n">
        <f aca="false">COUNTIF($C$2:$C$1001,C991)</f>
        <v>1</v>
      </c>
      <c r="Q991" s="35" t="n">
        <f aca="false">IF(COUNTIF($C$2:C991,C991)=1,1,0)</f>
        <v>1</v>
      </c>
    </row>
    <row r="992" customFormat="false" ht="15" hidden="false" customHeight="false" outlineLevel="0" collapsed="false">
      <c r="A992" s="35" t="s">
        <v>2593</v>
      </c>
      <c r="B992" s="64" t="n">
        <v>45889</v>
      </c>
      <c r="C992" s="35" t="s">
        <v>2594</v>
      </c>
      <c r="D992" s="35" t="s">
        <v>370</v>
      </c>
      <c r="E992" s="35" t="n">
        <v>27</v>
      </c>
      <c r="F992" s="35" t="s">
        <v>234</v>
      </c>
      <c r="G992" s="35" t="s">
        <v>217</v>
      </c>
      <c r="H992" s="35" t="s">
        <v>212</v>
      </c>
      <c r="I992" s="35" t="s">
        <v>203</v>
      </c>
      <c r="J992" s="35" t="n">
        <v>9</v>
      </c>
      <c r="K992" s="65" t="n">
        <v>34835.55</v>
      </c>
      <c r="L992" s="65" t="n">
        <v>313519.95</v>
      </c>
      <c r="M992" s="66" t="n">
        <f aca="false">DATE(YEAR(B992),MONTH(B992),1)</f>
        <v>45870</v>
      </c>
      <c r="N992" s="35" t="str">
        <f aca="false">IF(G992="","Unknown",G992)</f>
        <v>Kolkata</v>
      </c>
      <c r="O992" s="35" t="str">
        <f aca="false">IF(E992="","Unknown",IF(E992&lt;=25,"18-25",IF(E992&lt;=35,"26-35",IF(E992&lt;=45,"36-45",IF(E992&lt;=55,"46-55","56-65")))))</f>
        <v>26-35</v>
      </c>
      <c r="P992" s="35" t="n">
        <f aca="false">COUNTIF($C$2:$C$1001,C992)</f>
        <v>1</v>
      </c>
      <c r="Q992" s="35" t="n">
        <f aca="false">IF(COUNTIF($C$2:C992,C992)=1,1,0)</f>
        <v>1</v>
      </c>
    </row>
    <row r="993" customFormat="false" ht="15" hidden="false" customHeight="false" outlineLevel="0" collapsed="false">
      <c r="A993" s="35" t="s">
        <v>2595</v>
      </c>
      <c r="B993" s="64" t="n">
        <v>45824</v>
      </c>
      <c r="C993" s="35" t="s">
        <v>1396</v>
      </c>
      <c r="D993" s="35" t="s">
        <v>2210</v>
      </c>
      <c r="E993" s="35" t="n">
        <v>52</v>
      </c>
      <c r="F993" s="35" t="s">
        <v>234</v>
      </c>
      <c r="G993" s="35" t="s">
        <v>216</v>
      </c>
      <c r="H993" s="35" t="s">
        <v>210</v>
      </c>
      <c r="I993" s="35" t="s">
        <v>201</v>
      </c>
      <c r="J993" s="35" t="n">
        <v>8</v>
      </c>
      <c r="K993" s="65" t="n">
        <v>44625.98</v>
      </c>
      <c r="L993" s="65" t="n">
        <v>357007.84</v>
      </c>
      <c r="M993" s="66" t="n">
        <f aca="false">DATE(YEAR(B993),MONTH(B993),1)</f>
        <v>45809</v>
      </c>
      <c r="N993" s="35" t="str">
        <f aca="false">IF(G993="","Unknown",G993)</f>
        <v>Patna</v>
      </c>
      <c r="O993" s="35" t="str">
        <f aca="false">IF(E993="","Unknown",IF(E993&lt;=25,"18-25",IF(E993&lt;=35,"26-35",IF(E993&lt;=45,"36-45",IF(E993&lt;=55,"46-55","56-65")))))</f>
        <v>46-55</v>
      </c>
      <c r="P993" s="35" t="n">
        <f aca="false">COUNTIF($C$2:$C$1001,C993)</f>
        <v>2</v>
      </c>
      <c r="Q993" s="35" t="n">
        <f aca="false">IF(COUNTIF($C$2:C993,C993)=1,1,0)</f>
        <v>0</v>
      </c>
    </row>
    <row r="994" customFormat="false" ht="15" hidden="false" customHeight="false" outlineLevel="0" collapsed="false">
      <c r="A994" s="35" t="s">
        <v>2596</v>
      </c>
      <c r="B994" s="64" t="n">
        <v>45849</v>
      </c>
      <c r="C994" s="35" t="s">
        <v>2597</v>
      </c>
      <c r="D994" s="35" t="s">
        <v>2598</v>
      </c>
      <c r="E994" s="35" t="n">
        <v>52</v>
      </c>
      <c r="F994" s="35" t="s">
        <v>235</v>
      </c>
      <c r="G994" s="35" t="s">
        <v>219</v>
      </c>
      <c r="H994" s="35" t="s">
        <v>212</v>
      </c>
      <c r="I994" s="35" t="s">
        <v>203</v>
      </c>
      <c r="J994" s="35" t="n">
        <v>5</v>
      </c>
      <c r="K994" s="65" t="n">
        <v>7279.34</v>
      </c>
      <c r="L994" s="65" t="n">
        <v>36396.7</v>
      </c>
      <c r="M994" s="66" t="n">
        <f aca="false">DATE(YEAR(B994),MONTH(B994),1)</f>
        <v>45839</v>
      </c>
      <c r="N994" s="35" t="str">
        <f aca="false">IF(G994="","Unknown",G994)</f>
        <v>Mumbai</v>
      </c>
      <c r="O994" s="35" t="str">
        <f aca="false">IF(E994="","Unknown",IF(E994&lt;=25,"18-25",IF(E994&lt;=35,"26-35",IF(E994&lt;=45,"36-45",IF(E994&lt;=55,"46-55","56-65")))))</f>
        <v>46-55</v>
      </c>
      <c r="P994" s="35" t="n">
        <f aca="false">COUNTIF($C$2:$C$1001,C994)</f>
        <v>1</v>
      </c>
      <c r="Q994" s="35" t="n">
        <f aca="false">IF(COUNTIF($C$2:C994,C994)=1,1,0)</f>
        <v>1</v>
      </c>
    </row>
    <row r="995" customFormat="false" ht="15" hidden="false" customHeight="false" outlineLevel="0" collapsed="false">
      <c r="A995" s="35" t="s">
        <v>2599</v>
      </c>
      <c r="B995" s="64" t="n">
        <v>45868</v>
      </c>
      <c r="C995" s="35" t="s">
        <v>2600</v>
      </c>
      <c r="D995" s="35" t="s">
        <v>2112</v>
      </c>
      <c r="E995" s="35" t="n">
        <v>64</v>
      </c>
      <c r="F995" s="35" t="s">
        <v>234</v>
      </c>
      <c r="G995" s="35" t="s">
        <v>219</v>
      </c>
      <c r="H995" s="35" t="s">
        <v>212</v>
      </c>
      <c r="I995" s="35" t="s">
        <v>203</v>
      </c>
      <c r="J995" s="35" t="n">
        <v>1</v>
      </c>
      <c r="K995" s="65" t="n">
        <v>37930.19</v>
      </c>
      <c r="L995" s="65" t="n">
        <v>37930.19</v>
      </c>
      <c r="M995" s="66" t="n">
        <f aca="false">DATE(YEAR(B995),MONTH(B995),1)</f>
        <v>45839</v>
      </c>
      <c r="N995" s="35" t="str">
        <f aca="false">IF(G995="","Unknown",G995)</f>
        <v>Mumbai</v>
      </c>
      <c r="O995" s="35" t="str">
        <f aca="false">IF(E995="","Unknown",IF(E995&lt;=25,"18-25",IF(E995&lt;=35,"26-35",IF(E995&lt;=45,"36-45",IF(E995&lt;=55,"46-55","56-65")))))</f>
        <v>56-65</v>
      </c>
      <c r="P995" s="35" t="n">
        <f aca="false">COUNTIF($C$2:$C$1001,C995)</f>
        <v>1</v>
      </c>
      <c r="Q995" s="35" t="n">
        <f aca="false">IF(COUNTIF($C$2:C995,C995)=1,1,0)</f>
        <v>1</v>
      </c>
    </row>
    <row r="996" customFormat="false" ht="15" hidden="false" customHeight="false" outlineLevel="0" collapsed="false">
      <c r="A996" s="35" t="s">
        <v>2601</v>
      </c>
      <c r="B996" s="64" t="n">
        <v>45820</v>
      </c>
      <c r="C996" s="35" t="s">
        <v>2602</v>
      </c>
      <c r="D996" s="35" t="s">
        <v>347</v>
      </c>
      <c r="E996" s="35" t="n">
        <v>36</v>
      </c>
      <c r="F996" s="35" t="s">
        <v>234</v>
      </c>
      <c r="G996" s="35" t="s">
        <v>222</v>
      </c>
      <c r="H996" s="35" t="s">
        <v>210</v>
      </c>
      <c r="I996" s="35" t="s">
        <v>201</v>
      </c>
      <c r="J996" s="35" t="n">
        <v>9</v>
      </c>
      <c r="K996" s="65" t="n">
        <v>44322.64</v>
      </c>
      <c r="L996" s="65" t="n">
        <v>398903.76</v>
      </c>
      <c r="M996" s="66" t="n">
        <f aca="false">DATE(YEAR(B996),MONTH(B996),1)</f>
        <v>45809</v>
      </c>
      <c r="N996" s="35" t="str">
        <f aca="false">IF(G996="","Unknown",G996)</f>
        <v>Pune</v>
      </c>
      <c r="O996" s="35" t="str">
        <f aca="false">IF(E996="","Unknown",IF(E996&lt;=25,"18-25",IF(E996&lt;=35,"26-35",IF(E996&lt;=45,"36-45",IF(E996&lt;=55,"46-55","56-65")))))</f>
        <v>36-45</v>
      </c>
      <c r="P996" s="35" t="n">
        <f aca="false">COUNTIF($C$2:$C$1001,C996)</f>
        <v>1</v>
      </c>
      <c r="Q996" s="35" t="n">
        <f aca="false">IF(COUNTIF($C$2:C996,C996)=1,1,0)</f>
        <v>1</v>
      </c>
    </row>
    <row r="997" customFormat="false" ht="15" hidden="false" customHeight="false" outlineLevel="0" collapsed="false">
      <c r="A997" s="35" t="s">
        <v>2603</v>
      </c>
      <c r="B997" s="64" t="n">
        <v>45968</v>
      </c>
      <c r="C997" s="35" t="s">
        <v>2604</v>
      </c>
      <c r="D997" s="35" t="s">
        <v>908</v>
      </c>
      <c r="E997" s="35" t="n">
        <v>61</v>
      </c>
      <c r="F997" s="35" t="s">
        <v>234</v>
      </c>
      <c r="G997" s="35" t="s">
        <v>223</v>
      </c>
      <c r="H997" s="35" t="s">
        <v>208</v>
      </c>
      <c r="I997" s="35" t="s">
        <v>200</v>
      </c>
      <c r="J997" s="35" t="n">
        <v>9</v>
      </c>
      <c r="K997" s="65" t="n">
        <v>35405.54</v>
      </c>
      <c r="L997" s="65" t="n">
        <v>318649.86</v>
      </c>
      <c r="M997" s="66" t="n">
        <f aca="false">DATE(YEAR(B997),MONTH(B997),1)</f>
        <v>45962</v>
      </c>
      <c r="N997" s="35" t="str">
        <f aca="false">IF(G997="","Unknown",G997)</f>
        <v>Gaya</v>
      </c>
      <c r="O997" s="35" t="str">
        <f aca="false">IF(E997="","Unknown",IF(E997&lt;=25,"18-25",IF(E997&lt;=35,"26-35",IF(E997&lt;=45,"36-45",IF(E997&lt;=55,"46-55","56-65")))))</f>
        <v>56-65</v>
      </c>
      <c r="P997" s="35" t="n">
        <f aca="false">COUNTIF($C$2:$C$1001,C997)</f>
        <v>1</v>
      </c>
      <c r="Q997" s="35" t="n">
        <f aca="false">IF(COUNTIF($C$2:C997,C997)=1,1,0)</f>
        <v>1</v>
      </c>
    </row>
    <row r="998" customFormat="false" ht="15" hidden="false" customHeight="false" outlineLevel="0" collapsed="false">
      <c r="A998" s="35" t="s">
        <v>2605</v>
      </c>
      <c r="B998" s="64" t="n">
        <v>45903</v>
      </c>
      <c r="C998" s="35" t="s">
        <v>2606</v>
      </c>
      <c r="D998" s="35" t="s">
        <v>514</v>
      </c>
      <c r="E998" s="35" t="n">
        <v>25</v>
      </c>
      <c r="F998" s="35" t="s">
        <v>234</v>
      </c>
      <c r="G998" s="35" t="s">
        <v>223</v>
      </c>
      <c r="H998" s="35" t="s">
        <v>213</v>
      </c>
      <c r="I998" s="35" t="s">
        <v>204</v>
      </c>
      <c r="J998" s="35" t="n">
        <v>5</v>
      </c>
      <c r="K998" s="65" t="n">
        <v>18454.65</v>
      </c>
      <c r="L998" s="65" t="n">
        <v>92273.25</v>
      </c>
      <c r="M998" s="66" t="n">
        <f aca="false">DATE(YEAR(B998),MONTH(B998),1)</f>
        <v>45901</v>
      </c>
      <c r="N998" s="35" t="str">
        <f aca="false">IF(G998="","Unknown",G998)</f>
        <v>Gaya</v>
      </c>
      <c r="O998" s="35" t="str">
        <f aca="false">IF(E998="","Unknown",IF(E998&lt;=25,"18-25",IF(E998&lt;=35,"26-35",IF(E998&lt;=45,"36-45",IF(E998&lt;=55,"46-55","56-65")))))</f>
        <v>18-25</v>
      </c>
      <c r="P998" s="35" t="n">
        <f aca="false">COUNTIF($C$2:$C$1001,C998)</f>
        <v>1</v>
      </c>
      <c r="Q998" s="35" t="n">
        <f aca="false">IF(COUNTIF($C$2:C998,C998)=1,1,0)</f>
        <v>1</v>
      </c>
    </row>
    <row r="999" customFormat="false" ht="15" hidden="false" customHeight="false" outlineLevel="0" collapsed="false">
      <c r="A999" s="35" t="s">
        <v>2607</v>
      </c>
      <c r="B999" s="64" t="n">
        <v>45930</v>
      </c>
      <c r="C999" s="35" t="s">
        <v>2608</v>
      </c>
      <c r="D999" s="35" t="s">
        <v>2275</v>
      </c>
      <c r="E999" s="35" t="n">
        <v>62</v>
      </c>
      <c r="F999" s="35" t="s">
        <v>235</v>
      </c>
      <c r="G999" s="35" t="s">
        <v>220</v>
      </c>
      <c r="H999" s="35" t="s">
        <v>208</v>
      </c>
      <c r="I999" s="35" t="s">
        <v>200</v>
      </c>
      <c r="J999" s="35" t="n">
        <v>9</v>
      </c>
      <c r="K999" s="65" t="n">
        <v>12971.59</v>
      </c>
      <c r="L999" s="65" t="n">
        <v>116744.31</v>
      </c>
      <c r="M999" s="66" t="n">
        <f aca="false">DATE(YEAR(B999),MONTH(B999),1)</f>
        <v>45901</v>
      </c>
      <c r="N999" s="35" t="str">
        <f aca="false">IF(G999="","Unknown",G999)</f>
        <v>Hyderabad</v>
      </c>
      <c r="O999" s="35" t="str">
        <f aca="false">IF(E999="","Unknown",IF(E999&lt;=25,"18-25",IF(E999&lt;=35,"26-35",IF(E999&lt;=45,"36-45",IF(E999&lt;=55,"46-55","56-65")))))</f>
        <v>56-65</v>
      </c>
      <c r="P999" s="35" t="n">
        <f aca="false">COUNTIF($C$2:$C$1001,C999)</f>
        <v>1</v>
      </c>
      <c r="Q999" s="35" t="n">
        <f aca="false">IF(COUNTIF($C$2:C999,C999)=1,1,0)</f>
        <v>1</v>
      </c>
    </row>
    <row r="1000" customFormat="false" ht="15" hidden="false" customHeight="false" outlineLevel="0" collapsed="false">
      <c r="A1000" s="35" t="s">
        <v>2609</v>
      </c>
      <c r="B1000" s="64" t="n">
        <v>45709</v>
      </c>
      <c r="C1000" s="35" t="s">
        <v>2610</v>
      </c>
      <c r="D1000" s="35" t="s">
        <v>584</v>
      </c>
      <c r="E1000" s="35"/>
      <c r="F1000" s="35" t="s">
        <v>234</v>
      </c>
      <c r="G1000" s="35" t="s">
        <v>221</v>
      </c>
      <c r="H1000" s="35" t="s">
        <v>209</v>
      </c>
      <c r="I1000" s="35" t="s">
        <v>200</v>
      </c>
      <c r="J1000" s="35" t="n">
        <v>9</v>
      </c>
      <c r="K1000" s="65" t="n">
        <v>2879.01</v>
      </c>
      <c r="L1000" s="65" t="n">
        <v>25911.09</v>
      </c>
      <c r="M1000" s="66" t="n">
        <f aca="false">DATE(YEAR(B1000),MONTH(B1000),1)</f>
        <v>45689</v>
      </c>
      <c r="N1000" s="35" t="str">
        <f aca="false">IF(G1000="","Unknown",G1000)</f>
        <v>Delhi</v>
      </c>
      <c r="O1000" s="35" t="str">
        <f aca="false">IF(E1000="","Unknown",IF(E1000&lt;=25,"18-25",IF(E1000&lt;=35,"26-35",IF(E1000&lt;=45,"36-45",IF(E1000&lt;=55,"46-55","56-65")))))</f>
        <v>Unknown</v>
      </c>
      <c r="P1000" s="35" t="n">
        <f aca="false">COUNTIF($C$2:$C$1001,C1000)</f>
        <v>1</v>
      </c>
      <c r="Q1000" s="35" t="n">
        <f aca="false">IF(COUNTIF($C$2:C1000,C1000)=1,1,0)</f>
        <v>1</v>
      </c>
    </row>
    <row r="1001" customFormat="false" ht="15" hidden="false" customHeight="false" outlineLevel="0" collapsed="false">
      <c r="A1001" s="35" t="s">
        <v>2611</v>
      </c>
      <c r="B1001" s="64" t="n">
        <v>45770</v>
      </c>
      <c r="C1001" s="35" t="s">
        <v>2612</v>
      </c>
      <c r="D1001" s="35" t="s">
        <v>648</v>
      </c>
      <c r="E1001" s="35" t="n">
        <v>58</v>
      </c>
      <c r="F1001" s="35" t="s">
        <v>235</v>
      </c>
      <c r="G1001" s="35" t="s">
        <v>223</v>
      </c>
      <c r="H1001" s="35" t="s">
        <v>212</v>
      </c>
      <c r="I1001" s="35" t="s">
        <v>203</v>
      </c>
      <c r="J1001" s="35" t="n">
        <v>9</v>
      </c>
      <c r="K1001" s="65" t="n">
        <v>22493.87</v>
      </c>
      <c r="L1001" s="65" t="n">
        <v>202444.83</v>
      </c>
      <c r="M1001" s="66" t="n">
        <f aca="false">DATE(YEAR(B1001),MONTH(B1001),1)</f>
        <v>45748</v>
      </c>
      <c r="N1001" s="35" t="str">
        <f aca="false">IF(G1001="","Unknown",G1001)</f>
        <v>Gaya</v>
      </c>
      <c r="O1001" s="35" t="str">
        <f aca="false">IF(E1001="","Unknown",IF(E1001&lt;=25,"18-25",IF(E1001&lt;=35,"26-35",IF(E1001&lt;=45,"36-45",IF(E1001&lt;=55,"46-55","56-65")))))</f>
        <v>56-65</v>
      </c>
      <c r="P1001" s="35" t="n">
        <f aca="false">COUNTIF($C$2:$C$1001,C1001)</f>
        <v>1</v>
      </c>
      <c r="Q1001" s="35" t="n">
        <f aca="false">IF(COUNTIF($C$2:C1001,C1001)=1,1,0)</f>
        <v>1</v>
      </c>
    </row>
  </sheetData>
  <autoFilter ref="A1:Q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2026-10-03T04:15:55Z</dcterms:created>
  <dc:creator>openpyxl</dc:creator>
  <dc:description/>
  <dc:language>en-US</dc:language>
  <cp:lastModifiedBy/>
  <dcterms:modified xsi:type="dcterms:W3CDTF">2026-10-03T04:15:57Z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